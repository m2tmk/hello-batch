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tamaki\develop\hello-batch\doc\"/>
    </mc:Choice>
  </mc:AlternateContent>
  <xr:revisionPtr revIDLastSave="0" documentId="8_{91C50CDB-DA35-477E-A3D3-A270392BB40A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変更履歴" sheetId="44" r:id="rId1"/>
    <sheet name="概要" sheetId="56" r:id="rId2"/>
    <sheet name="マッピングシート" sheetId="51" r:id="rId3"/>
    <sheet name="分割スペックシート" sheetId="54" state="hidden" r:id="rId4"/>
    <sheet name="原材料詳細" sheetId="55" state="hidden" r:id="rId5"/>
    <sheet name="変換先項目出力順" sheetId="52" r:id="rId6"/>
    <sheet name="WK_ListSpecType" sheetId="48" state="veryHidden" r:id="rId7"/>
    <sheet name="WK_ListSearch" sheetId="41" state="veryHidden" r:id="rId8"/>
    <sheet name="WK_ListSpecDef" sheetId="8" state="veryHidden" r:id="rId9"/>
    <sheet name="WK_System" sheetId="49" state="veryHidden" r:id="rId10"/>
  </sheets>
  <definedNames>
    <definedName name="_xlnm._FilterDatabase" localSheetId="2" hidden="1">マッピングシート!$A$8:$T$30</definedName>
    <definedName name="_xlnm.Print_Area" localSheetId="1">概要!$B$1:$BU$83</definedName>
    <definedName name="RngDataType">WK_System!$C$2:$C$5</definedName>
    <definedName name="RngStatus">WK_System!$E$2:$E$6</definedName>
    <definedName name="RngSyori">WK_System!$D$2:$D$12</definedName>
    <definedName name="RngUmu">WK_System!$B$2</definedName>
    <definedName name="RngYesNo">WK_System!$F$2:$F$3</definedName>
    <definedName name="SysVersion">WK_System!$A$2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2" i="56" l="1"/>
  <c r="T1" i="54" l="1"/>
  <c r="T1" i="5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ebase</author>
    <author>作成者</author>
  </authors>
  <commentList>
    <comment ref="B2" authorId="0" shapeId="0" xr:uid="{00000000-0006-0000-0200-000001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B3" authorId="0" shapeId="0" xr:uid="{00000000-0006-0000-0200-000002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A8" authorId="0" shapeId="0" xr:uid="{00000000-0006-0000-0200-000003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（自由入力も可）
</t>
        </r>
      </text>
    </comment>
    <comment ref="D8" authorId="1" shapeId="0" xr:uid="{00000000-0006-0000-0200-000004000000}">
      <text>
        <r>
          <rPr>
            <sz val="9"/>
            <color indexed="81"/>
            <rFont val="ＭＳ Ｐゴシック"/>
            <family val="3"/>
            <charset val="128"/>
          </rPr>
          <t>【必須】
最大バイト数の設定
「数値」　0～13　※小数点(1バイト)含む
「日付」　10　（yyyy/mm/dd）
「文字列」　0～399
「長文字列」　0～4000</t>
        </r>
      </text>
    </comment>
    <comment ref="E8" authorId="0" shapeId="0" xr:uid="{00000000-0006-0000-0200-000005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F8" authorId="1" shapeId="0" xr:uid="{00000000-0006-0000-0200-000006000000}">
      <text>
        <r>
          <rPr>
            <sz val="9"/>
            <color indexed="81"/>
            <rFont val="ＭＳ Ｐゴシック"/>
            <family val="3"/>
            <charset val="128"/>
          </rPr>
          <t>主キー：◎
検索：○</t>
        </r>
      </text>
    </comment>
    <comment ref="G8" authorId="0" shapeId="0" xr:uid="{00000000-0006-0000-0200-000007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（自由入力も可）
</t>
        </r>
      </text>
    </comment>
    <comment ref="J8" authorId="0" shapeId="0" xr:uid="{00000000-0006-0000-0200-000008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M8" authorId="1" shapeId="0" xr:uid="{00000000-0006-0000-0200-000009000000}">
      <text>
        <r>
          <rPr>
            <sz val="9"/>
            <color indexed="81"/>
            <rFont val="ＭＳ Ｐゴシック"/>
            <family val="3"/>
            <charset val="128"/>
          </rPr>
          <t>【必須】
最大バイト数の設定
「数値」　0～13　※小数点(1バイト)含む
「日付」　10　（yyyy/mm/dd）
「文字列」　0～399
「長文字列」　0～4000</t>
        </r>
      </text>
    </comment>
    <comment ref="N8" authorId="0" shapeId="0" xr:uid="{00000000-0006-0000-0200-00000A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O8" authorId="0" shapeId="0" xr:uid="{00000000-0006-0000-0200-00000B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P8" authorId="0" shapeId="0" xr:uid="{00000000-0006-0000-0200-00000C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（自由入力も可）
</t>
        </r>
      </text>
    </comment>
    <comment ref="Q8" authorId="0" shapeId="0" xr:uid="{00000000-0006-0000-0200-00000D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T8" authorId="0" shapeId="0" xr:uid="{00000000-0006-0000-0200-00000E000000}">
      <text>
        <r>
          <rPr>
            <sz val="9"/>
            <color indexed="81"/>
            <rFont val="ＭＳ Ｐゴシック"/>
            <family val="3"/>
            <charset val="128"/>
          </rPr>
          <t>Scriptを記述します。
（例）="★" &amp; 項目値("基本情報:商品名")
別シートにScript記述している場合は
そのシート名を記述します。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ebase</author>
    <author>作成者</author>
  </authors>
  <commentList>
    <comment ref="B2" authorId="0" shapeId="0" xr:uid="{00000000-0006-0000-0300-000001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B3" authorId="0" shapeId="0" xr:uid="{00000000-0006-0000-0300-000002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A8" authorId="0" shapeId="0" xr:uid="{00000000-0006-0000-0300-000003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（自由入力も可）
</t>
        </r>
      </text>
    </comment>
    <comment ref="D8" authorId="1" shapeId="0" xr:uid="{00000000-0006-0000-0300-000004000000}">
      <text>
        <r>
          <rPr>
            <sz val="9"/>
            <color indexed="81"/>
            <rFont val="ＭＳ Ｐゴシック"/>
            <family val="3"/>
            <charset val="128"/>
          </rPr>
          <t>【必須】
最大バイト数の設定
「数値」　0～13　※小数点(1バイト)含む
「日付」　10　（yyyy/mm/dd）
「文字列」　0～399
「長文字列」　0～4000</t>
        </r>
      </text>
    </comment>
    <comment ref="E8" authorId="0" shapeId="0" xr:uid="{00000000-0006-0000-0300-000005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F8" authorId="1" shapeId="0" xr:uid="{00000000-0006-0000-0300-000006000000}">
      <text>
        <r>
          <rPr>
            <sz val="9"/>
            <color indexed="81"/>
            <rFont val="ＭＳ Ｐゴシック"/>
            <family val="3"/>
            <charset val="128"/>
          </rPr>
          <t>主キー：◎
検索：○</t>
        </r>
      </text>
    </comment>
    <comment ref="G8" authorId="0" shapeId="0" xr:uid="{00000000-0006-0000-0300-000007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（自由入力も可）
</t>
        </r>
      </text>
    </comment>
    <comment ref="J8" authorId="0" shapeId="0" xr:uid="{00000000-0006-0000-0300-000008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M8" authorId="1" shapeId="0" xr:uid="{00000000-0006-0000-0300-000009000000}">
      <text>
        <r>
          <rPr>
            <sz val="9"/>
            <color indexed="81"/>
            <rFont val="ＭＳ Ｐゴシック"/>
            <family val="3"/>
            <charset val="128"/>
          </rPr>
          <t>【必須】
最大バイト数の設定
「数値」　0～13　※小数点(1バイト)含む
「日付」　10　（yyyy/mm/dd）
「文字列」　0～399
「長文字列」　0～4000</t>
        </r>
      </text>
    </comment>
    <comment ref="N8" authorId="0" shapeId="0" xr:uid="{00000000-0006-0000-0300-00000A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O8" authorId="0" shapeId="0" xr:uid="{00000000-0006-0000-0300-00000B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P8" authorId="0" shapeId="0" xr:uid="{00000000-0006-0000-0300-00000C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（自由入力も可）
</t>
        </r>
      </text>
    </comment>
    <comment ref="Q8" authorId="0" shapeId="0" xr:uid="{00000000-0006-0000-0300-00000D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T8" authorId="0" shapeId="0" xr:uid="{00000000-0006-0000-0300-00000E000000}">
      <text>
        <r>
          <rPr>
            <sz val="9"/>
            <color indexed="81"/>
            <rFont val="ＭＳ Ｐゴシック"/>
            <family val="3"/>
            <charset val="128"/>
          </rPr>
          <t>Scriptを記述します。
（例）="★" &amp; 項目値("基本情報:商品名")
別シートにScript記述している場合は
そのシート名を記述します。</t>
        </r>
      </text>
    </comment>
  </commentList>
</comments>
</file>

<file path=xl/sharedStrings.xml><?xml version="1.0" encoding="utf-8"?>
<sst xmlns="http://schemas.openxmlformats.org/spreadsheetml/2006/main" count="742" uniqueCount="399">
  <si>
    <t>左から切り出し</t>
    <rPh sb="0" eb="1">
      <t>ヒダリ</t>
    </rPh>
    <rPh sb="3" eb="4">
      <t>キ</t>
    </rPh>
    <rPh sb="5" eb="6">
      <t>ダ</t>
    </rPh>
    <phoneticPr fontId="3"/>
  </si>
  <si>
    <t>値コピー</t>
    <rPh sb="0" eb="1">
      <t>アタイ</t>
    </rPh>
    <phoneticPr fontId="3"/>
  </si>
  <si>
    <t>文字列</t>
    <rPh sb="0" eb="3">
      <t>モジレツ</t>
    </rPh>
    <phoneticPr fontId="3"/>
  </si>
  <si>
    <t>その他</t>
    <rPh sb="2" eb="3">
      <t>タ</t>
    </rPh>
    <phoneticPr fontId="3"/>
  </si>
  <si>
    <t>備考</t>
    <rPh sb="0" eb="2">
      <t>ビコウ</t>
    </rPh>
    <phoneticPr fontId="3"/>
  </si>
  <si>
    <t>半角に変換</t>
    <rPh sb="0" eb="2">
      <t>ハンカク</t>
    </rPh>
    <rPh sb="3" eb="5">
      <t>ヘンカン</t>
    </rPh>
    <phoneticPr fontId="3"/>
  </si>
  <si>
    <t>全角に変換</t>
    <rPh sb="0" eb="2">
      <t>ゼンカク</t>
    </rPh>
    <rPh sb="3" eb="5">
      <t>ヘンカン</t>
    </rPh>
    <phoneticPr fontId="3"/>
  </si>
  <si>
    <t>処理内容</t>
    <rPh sb="0" eb="2">
      <t>ショリ</t>
    </rPh>
    <rPh sb="2" eb="4">
      <t>ナイヨウ</t>
    </rPh>
    <phoneticPr fontId="3"/>
  </si>
  <si>
    <t>辞書</t>
    <rPh sb="0" eb="2">
      <t>ジショ</t>
    </rPh>
    <phoneticPr fontId="3"/>
  </si>
  <si>
    <t>必須</t>
    <rPh sb="0" eb="2">
      <t>ヒッス</t>
    </rPh>
    <phoneticPr fontId="3"/>
  </si>
  <si>
    <t>データ型</t>
    <rPh sb="3" eb="4">
      <t>ガタ</t>
    </rPh>
    <phoneticPr fontId="5"/>
  </si>
  <si>
    <t>スペックタイプ名</t>
    <rPh sb="7" eb="8">
      <t>メイ</t>
    </rPh>
    <phoneticPr fontId="5"/>
  </si>
  <si>
    <t>項目名</t>
    <rPh sb="0" eb="2">
      <t>コウモク</t>
    </rPh>
    <rPh sb="2" eb="3">
      <t>メイ</t>
    </rPh>
    <phoneticPr fontId="5"/>
  </si>
  <si>
    <t>No.</t>
    <phoneticPr fontId="5"/>
  </si>
  <si>
    <t>固定値</t>
    <rPh sb="0" eb="2">
      <t>コテイ</t>
    </rPh>
    <rPh sb="2" eb="3">
      <t>アタイ</t>
    </rPh>
    <phoneticPr fontId="3"/>
  </si>
  <si>
    <t>大文字に変換</t>
    <rPh sb="0" eb="3">
      <t>オオモジ</t>
    </rPh>
    <rPh sb="4" eb="6">
      <t>ヘンカン</t>
    </rPh>
    <phoneticPr fontId="3"/>
  </si>
  <si>
    <t>小文字に変換</t>
    <rPh sb="0" eb="3">
      <t>コモジ</t>
    </rPh>
    <rPh sb="4" eb="6">
      <t>ヘンカン</t>
    </rPh>
    <phoneticPr fontId="3"/>
  </si>
  <si>
    <t>文字列を連結</t>
    <rPh sb="0" eb="3">
      <t>モジレツ</t>
    </rPh>
    <rPh sb="4" eb="6">
      <t>レンケツ</t>
    </rPh>
    <phoneticPr fontId="3"/>
  </si>
  <si>
    <t>右から切り出し</t>
    <rPh sb="0" eb="1">
      <t>ミギ</t>
    </rPh>
    <rPh sb="3" eb="4">
      <t>キ</t>
    </rPh>
    <rPh sb="5" eb="6">
      <t>ダ</t>
    </rPh>
    <phoneticPr fontId="3"/>
  </si>
  <si>
    <t>指定位置から切り出し</t>
    <rPh sb="0" eb="2">
      <t>シテイ</t>
    </rPh>
    <rPh sb="2" eb="4">
      <t>イチ</t>
    </rPh>
    <rPh sb="6" eb="7">
      <t>キ</t>
    </rPh>
    <rPh sb="8" eb="9">
      <t>ダ</t>
    </rPh>
    <phoneticPr fontId="3"/>
  </si>
  <si>
    <t>未着手</t>
    <rPh sb="0" eb="3">
      <t>ミチャクシュ</t>
    </rPh>
    <phoneticPr fontId="3"/>
  </si>
  <si>
    <t>進行中</t>
    <rPh sb="0" eb="3">
      <t>シンコウチュウ</t>
    </rPh>
    <phoneticPr fontId="3"/>
  </si>
  <si>
    <t>承認依頼中</t>
    <rPh sb="0" eb="2">
      <t>ショウニン</t>
    </rPh>
    <rPh sb="2" eb="5">
      <t>イライチュウ</t>
    </rPh>
    <phoneticPr fontId="3"/>
  </si>
  <si>
    <t>非承認</t>
    <rPh sb="0" eb="1">
      <t>ヒ</t>
    </rPh>
    <rPh sb="1" eb="3">
      <t>ショウニン</t>
    </rPh>
    <phoneticPr fontId="3"/>
  </si>
  <si>
    <t>承認済み</t>
    <rPh sb="0" eb="2">
      <t>ショウニン</t>
    </rPh>
    <rPh sb="2" eb="3">
      <t>スミ</t>
    </rPh>
    <phoneticPr fontId="3"/>
  </si>
  <si>
    <t>ステータス</t>
    <phoneticPr fontId="3"/>
  </si>
  <si>
    <t>最大バイト数</t>
    <rPh sb="0" eb="2">
      <t>サイダイ</t>
    </rPh>
    <rPh sb="5" eb="6">
      <t>スウ</t>
    </rPh>
    <phoneticPr fontId="5"/>
  </si>
  <si>
    <t>データ型</t>
    <rPh sb="3" eb="4">
      <t>ガタ</t>
    </rPh>
    <phoneticPr fontId="3"/>
  </si>
  <si>
    <t>数値</t>
    <rPh sb="0" eb="2">
      <t>スウチ</t>
    </rPh>
    <phoneticPr fontId="3"/>
  </si>
  <si>
    <t>連携</t>
    <rPh sb="0" eb="2">
      <t>レンケイ</t>
    </rPh>
    <phoneticPr fontId="3"/>
  </si>
  <si>
    <t>No.</t>
    <phoneticPr fontId="3"/>
  </si>
  <si>
    <t>変更日</t>
    <rPh sb="0" eb="2">
      <t>ヘンコウ</t>
    </rPh>
    <rPh sb="2" eb="3">
      <t>ヒ</t>
    </rPh>
    <phoneticPr fontId="3"/>
  </si>
  <si>
    <t>変更内容</t>
    <rPh sb="0" eb="2">
      <t>ヘンコウ</t>
    </rPh>
    <rPh sb="2" eb="4">
      <t>ナイヨウ</t>
    </rPh>
    <phoneticPr fontId="3"/>
  </si>
  <si>
    <t>変更者</t>
    <rPh sb="0" eb="2">
      <t>ヘンコウ</t>
    </rPh>
    <rPh sb="2" eb="3">
      <t>シャ</t>
    </rPh>
    <phoneticPr fontId="3"/>
  </si>
  <si>
    <t>■マッピング定義</t>
    <rPh sb="6" eb="8">
      <t>テイギ</t>
    </rPh>
    <phoneticPr fontId="3"/>
  </si>
  <si>
    <t>Version</t>
    <phoneticPr fontId="3"/>
  </si>
  <si>
    <t>ステータス</t>
    <phoneticPr fontId="5"/>
  </si>
  <si>
    <t>最大
バイト数</t>
    <rPh sb="0" eb="2">
      <t>サイダイ</t>
    </rPh>
    <rPh sb="6" eb="7">
      <t>スウ</t>
    </rPh>
    <phoneticPr fontId="5"/>
  </si>
  <si>
    <t>値サンプル</t>
    <rPh sb="0" eb="1">
      <t>アタイ</t>
    </rPh>
    <phoneticPr fontId="3"/>
  </si>
  <si>
    <t>備考</t>
    <rPh sb="0" eb="2">
      <t>ビコウ</t>
    </rPh>
    <phoneticPr fontId="5"/>
  </si>
  <si>
    <t>連携対象</t>
    <rPh sb="0" eb="2">
      <t>レンケイ</t>
    </rPh>
    <rPh sb="2" eb="4">
      <t>タイショウ</t>
    </rPh>
    <phoneticPr fontId="3"/>
  </si>
  <si>
    <t>標準処理
内容</t>
    <rPh sb="0" eb="2">
      <t>ヒョウジュン</t>
    </rPh>
    <rPh sb="2" eb="4">
      <t>ショリ</t>
    </rPh>
    <rPh sb="5" eb="7">
      <t>ナイヨウ</t>
    </rPh>
    <phoneticPr fontId="3"/>
  </si>
  <si>
    <t>標準処理
パラメータ</t>
    <rPh sb="0" eb="2">
      <t>ヒョウジュン</t>
    </rPh>
    <rPh sb="2" eb="4">
      <t>ショリ</t>
    </rPh>
    <phoneticPr fontId="3"/>
  </si>
  <si>
    <t>カスタム処理
概要</t>
    <rPh sb="4" eb="6">
      <t>ショリ</t>
    </rPh>
    <rPh sb="7" eb="9">
      <t>ガイヨウ</t>
    </rPh>
    <phoneticPr fontId="3"/>
  </si>
  <si>
    <t>変換元</t>
    <rPh sb="0" eb="2">
      <t>ヘンカン</t>
    </rPh>
    <rPh sb="2" eb="3">
      <t>モト</t>
    </rPh>
    <phoneticPr fontId="3"/>
  </si>
  <si>
    <t>変換先</t>
    <rPh sb="0" eb="2">
      <t>ヘンカン</t>
    </rPh>
    <rPh sb="2" eb="3">
      <t>サキ</t>
    </rPh>
    <phoneticPr fontId="5"/>
  </si>
  <si>
    <t>データ名、または
スペックタイプ名</t>
    <rPh sb="3" eb="4">
      <t>メイ</t>
    </rPh>
    <rPh sb="16" eb="17">
      <t>メイ</t>
    </rPh>
    <phoneticPr fontId="5"/>
  </si>
  <si>
    <t>項目名、または
スペック項目名</t>
    <rPh sb="0" eb="2">
      <t>コウモク</t>
    </rPh>
    <rPh sb="2" eb="3">
      <t>メイ</t>
    </rPh>
    <rPh sb="12" eb="14">
      <t>コウモク</t>
    </rPh>
    <rPh sb="14" eb="15">
      <t>メイ</t>
    </rPh>
    <phoneticPr fontId="5"/>
  </si>
  <si>
    <t>【変換元】項目定義</t>
    <rPh sb="5" eb="7">
      <t>コウモク</t>
    </rPh>
    <rPh sb="7" eb="9">
      <t>テイギ</t>
    </rPh>
    <phoneticPr fontId="3"/>
  </si>
  <si>
    <t>【変換先】項目定義</t>
    <rPh sb="5" eb="7">
      <t>コウモク</t>
    </rPh>
    <rPh sb="7" eb="9">
      <t>テイギ</t>
    </rPh>
    <phoneticPr fontId="3"/>
  </si>
  <si>
    <t>　※行は詰めて記述してください</t>
    <rPh sb="2" eb="3">
      <t>ギョウ</t>
    </rPh>
    <rPh sb="4" eb="5">
      <t>ツ</t>
    </rPh>
    <rPh sb="7" eb="9">
      <t>キジュツ</t>
    </rPh>
    <phoneticPr fontId="3"/>
  </si>
  <si>
    <t>有無</t>
    <rPh sb="0" eb="2">
      <t>ウム</t>
    </rPh>
    <phoneticPr fontId="3"/>
  </si>
  <si>
    <t>○</t>
    <phoneticPr fontId="3"/>
  </si>
  <si>
    <t>日付</t>
    <rPh sb="0" eb="2">
      <t>ヒヅケ</t>
    </rPh>
    <phoneticPr fontId="3"/>
  </si>
  <si>
    <t>長文字列</t>
    <rPh sb="0" eb="1">
      <t>チョウ</t>
    </rPh>
    <rPh sb="1" eb="4">
      <t>モジレツ</t>
    </rPh>
    <phoneticPr fontId="3"/>
  </si>
  <si>
    <t>YES/NO</t>
    <phoneticPr fontId="3"/>
  </si>
  <si>
    <t>×</t>
    <phoneticPr fontId="3"/>
  </si>
  <si>
    <t>eB-Script記述</t>
    <rPh sb="9" eb="11">
      <t>キジュツ</t>
    </rPh>
    <phoneticPr fontId="3"/>
  </si>
  <si>
    <t>未着手</t>
  </si>
  <si>
    <t>○</t>
  </si>
  <si>
    <t>文字列</t>
  </si>
  <si>
    <t>カンマ並びシート</t>
    <rPh sb="3" eb="4">
      <t>ナラ</t>
    </rPh>
    <phoneticPr fontId="3"/>
  </si>
  <si>
    <t>分割処理対象条件</t>
    <rPh sb="0" eb="2">
      <t>ブンカツ</t>
    </rPh>
    <rPh sb="2" eb="4">
      <t>ショリ</t>
    </rPh>
    <rPh sb="4" eb="6">
      <t>タイショウ</t>
    </rPh>
    <rPh sb="6" eb="8">
      <t>ジョウケン</t>
    </rPh>
    <phoneticPr fontId="3"/>
  </si>
  <si>
    <t>原材料リスト:原材料[%]</t>
    <rPh sb="0" eb="3">
      <t>ゲンザイリョウ</t>
    </rPh>
    <rPh sb="7" eb="10">
      <t>ゲンザイリョウ</t>
    </rPh>
    <phoneticPr fontId="3"/>
  </si>
  <si>
    <t>分割対象
スペック</t>
    <rPh sb="0" eb="2">
      <t>ブンカツ</t>
    </rPh>
    <rPh sb="2" eb="4">
      <t>タイショウ</t>
    </rPh>
    <phoneticPr fontId="3"/>
  </si>
  <si>
    <t>原材料区分</t>
  </si>
  <si>
    <t>階層No</t>
  </si>
  <si>
    <t>階層レベル</t>
  </si>
  <si>
    <t>部材名</t>
  </si>
  <si>
    <t>原材料仕様書コード</t>
  </si>
  <si>
    <t>原材料・添加物商品名</t>
  </si>
  <si>
    <t>原材料一般名・添加物物質名</t>
  </si>
  <si>
    <t>添加物用途</t>
  </si>
  <si>
    <t>原材料・添加物メーカー名</t>
  </si>
  <si>
    <t>メーカー限定</t>
  </si>
  <si>
    <t>納品業者</t>
  </si>
  <si>
    <t>基原原料</t>
  </si>
  <si>
    <t>仕込量（製品）</t>
  </si>
  <si>
    <t>歩留率（製品）</t>
  </si>
  <si>
    <t>製品内配合率</t>
  </si>
  <si>
    <t>仕込量（部材）</t>
  </si>
  <si>
    <t>歩留率（部材）</t>
  </si>
  <si>
    <t>部材内配合率</t>
  </si>
  <si>
    <t>原産国</t>
  </si>
  <si>
    <t>原産国限定</t>
  </si>
  <si>
    <t>産地名</t>
  </si>
  <si>
    <t>産地名限定</t>
  </si>
  <si>
    <t>遺伝子組み換え区分</t>
  </si>
  <si>
    <t>一括表示例</t>
  </si>
  <si>
    <t>表示／非表示</t>
  </si>
  <si>
    <t>非表示理由</t>
  </si>
  <si>
    <t>キャリーオーバー</t>
  </si>
  <si>
    <t>加工助剤</t>
  </si>
  <si>
    <t>備考</t>
  </si>
  <si>
    <t>アレルギー物質</t>
  </si>
  <si>
    <t>原料原価</t>
  </si>
  <si>
    <t>エネルギー</t>
  </si>
  <si>
    <t>添加物別名</t>
  </si>
  <si>
    <t>原料原産地表示の有無</t>
  </si>
  <si>
    <t>原料原産地表示の表示場所</t>
  </si>
  <si>
    <t>原材料非公開</t>
  </si>
  <si>
    <t>dummy</t>
  </si>
  <si>
    <t>アレルギー確定/現時点情報</t>
  </si>
  <si>
    <t>証明書の有無</t>
  </si>
  <si>
    <t>BSEの有無</t>
  </si>
  <si>
    <t>BSEの部位</t>
  </si>
  <si>
    <t>アレルギー表示根拠</t>
  </si>
  <si>
    <t>表示不要アレルギー物質</t>
  </si>
  <si>
    <t>栄養強化剤</t>
  </si>
  <si>
    <t>有機食品</t>
  </si>
  <si>
    <t>DNA残存</t>
  </si>
  <si>
    <t>原材料コード</t>
  </si>
  <si>
    <t>吸油率</t>
  </si>
  <si>
    <t>規格</t>
  </si>
  <si>
    <t>栄養成分ID</t>
  </si>
  <si>
    <t>支給品フラグ</t>
  </si>
  <si>
    <t>添加物製剤フラグ</t>
  </si>
  <si>
    <t>使用量</t>
  </si>
  <si>
    <t>規格単位</t>
  </si>
  <si>
    <t>比重(g換算係数)</t>
  </si>
  <si>
    <t>歩留まり要因</t>
  </si>
  <si>
    <t>所要金額</t>
  </si>
  <si>
    <t>製品１個重量(g)</t>
  </si>
  <si>
    <t>重量(g)</t>
  </si>
  <si>
    <t>内訳配合率</t>
  </si>
  <si>
    <t>固形率</t>
  </si>
  <si>
    <t>廃棄率</t>
  </si>
  <si>
    <t>製品重量(実測値)(kg)</t>
  </si>
  <si>
    <t>原価歩留率</t>
  </si>
  <si>
    <t>表示使用量</t>
  </si>
  <si>
    <t>吸収率</t>
  </si>
  <si>
    <t>検索ボリュームID</t>
  </si>
  <si>
    <t>そうけんくん情報</t>
  </si>
  <si>
    <t>原材料kg単価1</t>
  </si>
  <si>
    <t>原材料kg単価2</t>
  </si>
  <si>
    <t>原材料kg単価3</t>
  </si>
  <si>
    <t>原材料kg単価4</t>
  </si>
  <si>
    <t>原材料kg単価5</t>
  </si>
  <si>
    <t>原材料kg単価条件1</t>
  </si>
  <si>
    <t>原材料kg単価条件2</t>
  </si>
  <si>
    <t>原材料kg単価条件3</t>
  </si>
  <si>
    <t>原材料kg単価条件4</t>
  </si>
  <si>
    <t>原材料kg単価条件5</t>
  </si>
  <si>
    <t>代表原材料原価フラグ</t>
  </si>
  <si>
    <t>仮登録フラグ</t>
  </si>
  <si>
    <t>半製品フラグ</t>
  </si>
  <si>
    <t>原価計算：液体情報</t>
  </si>
  <si>
    <t>原材料単価単位1</t>
  </si>
  <si>
    <t>原材料単価単位2</t>
  </si>
  <si>
    <t>原材料単価単位3</t>
  </si>
  <si>
    <t>原材料単価単位4</t>
  </si>
  <si>
    <t>原材料単価単位5</t>
  </si>
  <si>
    <t>修正日</t>
  </si>
  <si>
    <t>換算対象</t>
  </si>
  <si>
    <t>換算指数</t>
  </si>
  <si>
    <t>原材料発注ロット単位数1</t>
  </si>
  <si>
    <t>原材料発注ロット単位数2</t>
  </si>
  <si>
    <t>原材料発注ロット単位数3</t>
  </si>
  <si>
    <t>原材料発注ロット単位数4</t>
  </si>
  <si>
    <t>原材料発注ロット単位数5</t>
  </si>
  <si>
    <t>括弧付表示モード</t>
  </si>
  <si>
    <t>複合名称</t>
  </si>
  <si>
    <t>原材料一般名・添加物物質名(該当なし)</t>
  </si>
  <si>
    <t>一括表示ID</t>
  </si>
  <si>
    <t>構成区分</t>
  </si>
  <si>
    <t>構成品名</t>
  </si>
  <si>
    <t>括弧名</t>
  </si>
  <si>
    <t>原料承認状況</t>
  </si>
  <si>
    <t>歩留率１</t>
  </si>
  <si>
    <t>歩留率２</t>
  </si>
  <si>
    <t>歩留率３</t>
  </si>
  <si>
    <t>原価歩留率１</t>
  </si>
  <si>
    <t>原価歩留率２</t>
  </si>
  <si>
    <t>原価歩留率３</t>
  </si>
  <si>
    <t>可食率</t>
  </si>
  <si>
    <t>フル機能配合フラグ</t>
  </si>
  <si>
    <t>■マッピング定義（分割スペック）</t>
    <rPh sb="6" eb="8">
      <t>テイギ</t>
    </rPh>
    <rPh sb="9" eb="11">
      <t>ブンカツ</t>
    </rPh>
    <phoneticPr fontId="3"/>
  </si>
  <si>
    <t>=AND(項目値(":原材料区分")="原材料",項目値(":階層レベル")=1)</t>
    <phoneticPr fontId="3"/>
  </si>
  <si>
    <t>部材名</t>
    <rPh sb="0" eb="2">
      <t>ブザイ</t>
    </rPh>
    <rPh sb="2" eb="3">
      <t>メイ</t>
    </rPh>
    <phoneticPr fontId="3"/>
  </si>
  <si>
    <t>原産国</t>
    <rPh sb="0" eb="2">
      <t>ゲンサン</t>
    </rPh>
    <rPh sb="2" eb="3">
      <t>コク</t>
    </rPh>
    <phoneticPr fontId="3"/>
  </si>
  <si>
    <t>アレルギー物質</t>
    <rPh sb="5" eb="7">
      <t>ブッシツ</t>
    </rPh>
    <phoneticPr fontId="3"/>
  </si>
  <si>
    <t>基本情報</t>
    <rPh sb="0" eb="2">
      <t>キホン</t>
    </rPh>
    <rPh sb="2" eb="4">
      <t>ジョウホウ</t>
    </rPh>
    <phoneticPr fontId="3"/>
  </si>
  <si>
    <t>ピースJANコード</t>
  </si>
  <si>
    <t>分割原材料</t>
    <rPh sb="0" eb="2">
      <t>ブンカツ</t>
    </rPh>
    <rPh sb="2" eb="5">
      <t>ゲンザイリョウ</t>
    </rPh>
    <phoneticPr fontId="3"/>
  </si>
  <si>
    <t>JANコード</t>
  </si>
  <si>
    <t>原材料詳細</t>
    <rPh sb="0" eb="3">
      <t>ゲンザイリョウ</t>
    </rPh>
    <rPh sb="3" eb="5">
      <t>ショウサイ</t>
    </rPh>
    <phoneticPr fontId="3"/>
  </si>
  <si>
    <t>0.9.2.2</t>
    <phoneticPr fontId="3"/>
  </si>
  <si>
    <t>清涼飲料水</t>
  </si>
  <si>
    <t>食物繊維</t>
  </si>
  <si>
    <t>ほうじ茶</t>
  </si>
  <si>
    <t>ウーロン茶</t>
  </si>
  <si>
    <t>紅茶</t>
  </si>
  <si>
    <t>ビタミンC</t>
  </si>
  <si>
    <t>eBASE</t>
  </si>
  <si>
    <t>他システム</t>
  </si>
  <si>
    <t>日付</t>
  </si>
  <si>
    <t>EBMDM商い情報</t>
  </si>
  <si>
    <t>数値</t>
  </si>
  <si>
    <t>法人コード</t>
    <rPh sb="0" eb="2">
      <t>ホウジン</t>
    </rPh>
    <phoneticPr fontId="3"/>
  </si>
  <si>
    <t>EBMDM商い情報</t>
    <rPh sb="5" eb="6">
      <t>アキナ</t>
    </rPh>
    <rPh sb="7" eb="9">
      <t>ジョウホウ</t>
    </rPh>
    <phoneticPr fontId="3"/>
  </si>
  <si>
    <t>処理区分</t>
    <rPh sb="0" eb="2">
      <t>ショリ</t>
    </rPh>
    <rPh sb="2" eb="4">
      <t>クブン</t>
    </rPh>
    <phoneticPr fontId="3"/>
  </si>
  <si>
    <t>EBMDM製品情報</t>
    <rPh sb="5" eb="7">
      <t>セイヒン</t>
    </rPh>
    <phoneticPr fontId="3"/>
  </si>
  <si>
    <t>商品コード</t>
    <rPh sb="0" eb="2">
      <t>ショウヒン</t>
    </rPh>
    <phoneticPr fontId="3"/>
  </si>
  <si>
    <t>EBMDM商い情報</t>
    <rPh sb="5" eb="6">
      <t>アキナ</t>
    </rPh>
    <phoneticPr fontId="3"/>
  </si>
  <si>
    <t>在庫区分２</t>
    <rPh sb="0" eb="2">
      <t>ザイコ</t>
    </rPh>
    <rPh sb="2" eb="4">
      <t>クブン</t>
    </rPh>
    <phoneticPr fontId="3"/>
  </si>
  <si>
    <t>VMI区分</t>
    <rPh sb="3" eb="5">
      <t>クブン</t>
    </rPh>
    <phoneticPr fontId="3"/>
  </si>
  <si>
    <t>商品期限有無</t>
    <rPh sb="0" eb="2">
      <t>ショウヒン</t>
    </rPh>
    <rPh sb="2" eb="4">
      <t>キゲン</t>
    </rPh>
    <rPh sb="4" eb="6">
      <t>ウム</t>
    </rPh>
    <phoneticPr fontId="3"/>
  </si>
  <si>
    <t>基準コード</t>
    <rPh sb="0" eb="2">
      <t>キジュン</t>
    </rPh>
    <phoneticPr fontId="3"/>
  </si>
  <si>
    <t>基準コード</t>
    <rPh sb="0" eb="2">
      <t>キジュン</t>
    </rPh>
    <phoneticPr fontId="3"/>
  </si>
  <si>
    <t>基準期間</t>
    <rPh sb="0" eb="2">
      <t>キジュン</t>
    </rPh>
    <rPh sb="2" eb="4">
      <t>キカン</t>
    </rPh>
    <phoneticPr fontId="3"/>
  </si>
  <si>
    <t>○</t>
    <phoneticPr fontId="3"/>
  </si>
  <si>
    <t>売り仕切原価率</t>
    <rPh sb="0" eb="1">
      <t>ウ</t>
    </rPh>
    <rPh sb="2" eb="4">
      <t>シキ</t>
    </rPh>
    <rPh sb="4" eb="6">
      <t>ゲンカ</t>
    </rPh>
    <rPh sb="6" eb="7">
      <t>リツ</t>
    </rPh>
    <phoneticPr fontId="3"/>
  </si>
  <si>
    <t>原単価利用</t>
    <rPh sb="0" eb="3">
      <t>ゲンタンカ</t>
    </rPh>
    <rPh sb="3" eb="5">
      <t>リヨウ</t>
    </rPh>
    <phoneticPr fontId="3"/>
  </si>
  <si>
    <t>商品No</t>
    <rPh sb="0" eb="2">
      <t>ショウヒン</t>
    </rPh>
    <phoneticPr fontId="3"/>
  </si>
  <si>
    <t>要確認</t>
    <rPh sb="0" eb="2">
      <t>カクニン</t>
    </rPh>
    <phoneticPr fontId="3"/>
  </si>
  <si>
    <t>概要</t>
    <rPh sb="0" eb="2">
      <t>ガイヨウ</t>
    </rPh>
    <phoneticPr fontId="3"/>
  </si>
  <si>
    <t>資料名</t>
    <rPh sb="0" eb="2">
      <t>シリョウ</t>
    </rPh>
    <rPh sb="2" eb="3">
      <t>メイ</t>
    </rPh>
    <phoneticPr fontId="20"/>
  </si>
  <si>
    <t>作成</t>
    <rPh sb="0" eb="2">
      <t>サクセイ</t>
    </rPh>
    <phoneticPr fontId="20"/>
  </si>
  <si>
    <t>作成者</t>
    <rPh sb="0" eb="3">
      <t>サクセイシャ</t>
    </rPh>
    <phoneticPr fontId="20"/>
  </si>
  <si>
    <t>eBASE　大谷</t>
    <rPh sb="6" eb="8">
      <t>オオタニ</t>
    </rPh>
    <phoneticPr fontId="5"/>
  </si>
  <si>
    <t>更新</t>
    <rPh sb="0" eb="2">
      <t>コウシン</t>
    </rPh>
    <phoneticPr fontId="20"/>
  </si>
  <si>
    <t>１．概要</t>
    <rPh sb="2" eb="4">
      <t>ガイヨウ</t>
    </rPh>
    <phoneticPr fontId="3"/>
  </si>
  <si>
    <t>また、出力形式、文字コード、改行コードなどMDProに合わせた出力を実施する。</t>
    <rPh sb="27" eb="28">
      <t>ア</t>
    </rPh>
    <rPh sb="31" eb="33">
      <t>シュツリョク</t>
    </rPh>
    <rPh sb="34" eb="36">
      <t>ジッシ</t>
    </rPh>
    <phoneticPr fontId="3"/>
  </si>
  <si>
    <t>商品マスタ_CzPOS属性</t>
    <rPh sb="0" eb="2">
      <t>ショウヒン</t>
    </rPh>
    <rPh sb="11" eb="13">
      <t>ゾクセイ</t>
    </rPh>
    <phoneticPr fontId="3"/>
  </si>
  <si>
    <t>商品マスタ_CzPOS属性のレコードをMDProへと連動する。出力先は連携基盤へと出力する。</t>
    <rPh sb="0" eb="2">
      <t>ショウヒン</t>
    </rPh>
    <rPh sb="11" eb="13">
      <t>ゾクセイ</t>
    </rPh>
    <rPh sb="26" eb="28">
      <t>レンドウ</t>
    </rPh>
    <rPh sb="31" eb="33">
      <t>シュツリョク</t>
    </rPh>
    <rPh sb="33" eb="34">
      <t>サキ</t>
    </rPh>
    <rPh sb="35" eb="37">
      <t>レンケイ</t>
    </rPh>
    <rPh sb="37" eb="39">
      <t>キバン</t>
    </rPh>
    <rPh sb="41" eb="43">
      <t>シュツリョク</t>
    </rPh>
    <phoneticPr fontId="3"/>
  </si>
  <si>
    <t>賞味期限</t>
    <rPh sb="0" eb="2">
      <t>ショウミ</t>
    </rPh>
    <rPh sb="2" eb="4">
      <t>キゲン</t>
    </rPh>
    <phoneticPr fontId="3"/>
  </si>
  <si>
    <t>新規作成</t>
    <rPh sb="0" eb="2">
      <t>シンキ</t>
    </rPh>
    <rPh sb="2" eb="4">
      <t>サクセイ</t>
    </rPh>
    <phoneticPr fontId="3"/>
  </si>
  <si>
    <t>eBASE大谷</t>
    <rPh sb="0" eb="7">
      <t>エバセオオタニ</t>
    </rPh>
    <phoneticPr fontId="3"/>
  </si>
  <si>
    <t>概要：備考欄の記述を削除
マッピング：連携対象項目を変更</t>
    <rPh sb="0" eb="2">
      <t>ガイヨウ</t>
    </rPh>
    <rPh sb="3" eb="6">
      <t>ビコウラン</t>
    </rPh>
    <rPh sb="7" eb="9">
      <t>キジュツ</t>
    </rPh>
    <rPh sb="10" eb="12">
      <t>サクジョ</t>
    </rPh>
    <rPh sb="19" eb="21">
      <t>レンケイ</t>
    </rPh>
    <rPh sb="21" eb="23">
      <t>タイショウ</t>
    </rPh>
    <rPh sb="23" eb="25">
      <t>コウモク</t>
    </rPh>
    <rPh sb="26" eb="28">
      <t>ヘンコウ</t>
    </rPh>
    <phoneticPr fontId="3"/>
  </si>
  <si>
    <t>eBASE新井</t>
    <rPh sb="5" eb="7">
      <t>アライ</t>
    </rPh>
    <phoneticPr fontId="3"/>
  </si>
  <si>
    <t>連携元の値が「1000」以上の場合は、「999」に変換してセット</t>
    <rPh sb="0" eb="2">
      <t>レンケイ</t>
    </rPh>
    <rPh sb="2" eb="3">
      <t>モト</t>
    </rPh>
    <rPh sb="4" eb="5">
      <t>アタイ</t>
    </rPh>
    <rPh sb="12" eb="14">
      <t>イジョウ</t>
    </rPh>
    <rPh sb="15" eb="17">
      <t>バアイ</t>
    </rPh>
    <rPh sb="25" eb="27">
      <t>ヘンカン</t>
    </rPh>
    <phoneticPr fontId="3"/>
  </si>
  <si>
    <t>概要：出力条件を記載</t>
    <rPh sb="0" eb="2">
      <t>ガイヨウ</t>
    </rPh>
    <phoneticPr fontId="3"/>
  </si>
  <si>
    <t>新井</t>
    <rPh sb="0" eb="2">
      <t>アライ</t>
    </rPh>
    <phoneticPr fontId="3"/>
  </si>
  <si>
    <t>概要：出力条件見直し
マッピング：取引先コードの質問を記載。</t>
    <rPh sb="0" eb="2">
      <t>ガイヨウ</t>
    </rPh>
    <rPh sb="3" eb="5">
      <t>シュツリョク</t>
    </rPh>
    <rPh sb="5" eb="7">
      <t>ジョウケン</t>
    </rPh>
    <rPh sb="7" eb="9">
      <t>ミナオ</t>
    </rPh>
    <rPh sb="17" eb="19">
      <t>トリヒキ</t>
    </rPh>
    <rPh sb="19" eb="20">
      <t>サキ</t>
    </rPh>
    <rPh sb="24" eb="26">
      <t>シツモン</t>
    </rPh>
    <rPh sb="27" eb="29">
      <t>キサイ</t>
    </rPh>
    <phoneticPr fontId="3"/>
  </si>
  <si>
    <t>eBASE大谷</t>
    <rPh sb="5" eb="7">
      <t>オオタニ</t>
    </rPh>
    <phoneticPr fontId="3"/>
  </si>
  <si>
    <t>見直し修正</t>
    <rPh sb="0" eb="2">
      <t>ミナオ</t>
    </rPh>
    <rPh sb="3" eb="5">
      <t>シュウセイ</t>
    </rPh>
    <phoneticPr fontId="3"/>
  </si>
  <si>
    <t>○</t>
    <phoneticPr fontId="3"/>
  </si>
  <si>
    <t>IF連携日時</t>
    <rPh sb="2" eb="4">
      <t>レンケイ</t>
    </rPh>
    <rPh sb="4" eb="6">
      <t>ニチジ</t>
    </rPh>
    <phoneticPr fontId="3"/>
  </si>
  <si>
    <t>ユーザーID</t>
    <phoneticPr fontId="3"/>
  </si>
  <si>
    <t>EBMDMデータ管理</t>
    <rPh sb="8" eb="10">
      <t>カンリ</t>
    </rPh>
    <phoneticPr fontId="3"/>
  </si>
  <si>
    <t>YYYYMMDD HH24MISS形式
上記の形式で、処理開始日時を設定</t>
    <phoneticPr fontId="3"/>
  </si>
  <si>
    <t>=IF(SRC_SPEC_VALUE &gt; 999,999,SRC_SPEC_VALUE)</t>
    <phoneticPr fontId="3"/>
  </si>
  <si>
    <t>王</t>
    <rPh sb="0" eb="1">
      <t>オウ</t>
    </rPh>
    <phoneticPr fontId="3"/>
  </si>
  <si>
    <t>eB-script追記</t>
    <rPh sb="9" eb="11">
      <t>ツイキ</t>
    </rPh>
    <phoneticPr fontId="3"/>
  </si>
  <si>
    <t>YYYYMMDD</t>
    <phoneticPr fontId="3"/>
  </si>
  <si>
    <t>YYYYMMDD</t>
    <phoneticPr fontId="3"/>
  </si>
  <si>
    <t>マッピング：「EBMDM商い情報:ユーザーID」を「EBMDM商い情報:ユーザーＩＤ」
　　　　　　　に変更
　　　　　　　出力先の日付を「YYYYMMDD」と記載</t>
    <rPh sb="62" eb="64">
      <t>シュツリョク</t>
    </rPh>
    <rPh sb="64" eb="65">
      <t>サキ</t>
    </rPh>
    <rPh sb="66" eb="68">
      <t>ヒヅケ</t>
    </rPh>
    <rPh sb="80" eb="82">
      <t>キサイ</t>
    </rPh>
    <phoneticPr fontId="3"/>
  </si>
  <si>
    <t>=IF(ISNOTBLANK(SRC_SPEC_VALUE),TEXT(SRC_SPEC_VALUE,"yyyymmdd"),SRC_SPEC_VALUE)</t>
    <phoneticPr fontId="3"/>
  </si>
  <si>
    <t>マッピング：処理区分およびユーザーIDを連携対象から外した</t>
    <rPh sb="6" eb="8">
      <t>ショリ</t>
    </rPh>
    <rPh sb="8" eb="10">
      <t>クブン</t>
    </rPh>
    <rPh sb="20" eb="22">
      <t>レンケイ</t>
    </rPh>
    <rPh sb="22" eb="24">
      <t>タイショウ</t>
    </rPh>
    <rPh sb="26" eb="27">
      <t>ハズ</t>
    </rPh>
    <phoneticPr fontId="3"/>
  </si>
  <si>
    <t>概要：出力条件を追記</t>
    <rPh sb="0" eb="2">
      <t>ガイヨウ</t>
    </rPh>
    <rPh sb="3" eb="5">
      <t>シュツリョク</t>
    </rPh>
    <rPh sb="5" eb="7">
      <t>ジョウケン</t>
    </rPh>
    <rPh sb="8" eb="10">
      <t>ツイキ</t>
    </rPh>
    <phoneticPr fontId="3"/>
  </si>
  <si>
    <t>物理ファイル名「CP_B_SHO_PRD_CZPOS_ZKS_MST_2_yyyymmddhh24miss.csv」で出力</t>
    <rPh sb="0" eb="2">
      <t>ブツリ</t>
    </rPh>
    <rPh sb="6" eb="7">
      <t>メイ</t>
    </rPh>
    <rPh sb="59" eb="61">
      <t>シュツリョク</t>
    </rPh>
    <phoneticPr fontId="3"/>
  </si>
  <si>
    <t>物理ファイル名「CP_B_SHO_PRD_CZPOS_ZKS_MST_1_yyyymmddhh24miss.csv」で出力</t>
    <rPh sb="0" eb="2">
      <t>ブツリ</t>
    </rPh>
    <rPh sb="6" eb="7">
      <t>メイ</t>
    </rPh>
    <rPh sb="59" eb="61">
      <t>シュツリョク</t>
    </rPh>
    <phoneticPr fontId="3"/>
  </si>
  <si>
    <t>eBASE大谷</t>
    <rPh sb="5" eb="7">
      <t>オオタニ</t>
    </rPh>
    <phoneticPr fontId="3"/>
  </si>
  <si>
    <t>マッピング：「EBMDM商い情報:統一原価（税込）」→「EBMDM商い情報:原単価索引用１（税抜）」
　　　　　　　「EBMDM商い情報:統一売価（税込）」→「EBMDM商い情報:売単価索引用１（税込）」
　　　　　　　「EBMDM商い情報:発注単位数」→「EBMDM商い情報:発注単位索引用１」に変更</t>
    <rPh sb="12" eb="13">
      <t>アキナ</t>
    </rPh>
    <rPh sb="14" eb="16">
      <t>ジョウホウ</t>
    </rPh>
    <rPh sb="33" eb="34">
      <t>アキナ</t>
    </rPh>
    <rPh sb="35" eb="37">
      <t>ジョウホウ</t>
    </rPh>
    <rPh sb="64" eb="65">
      <t>アキナ</t>
    </rPh>
    <rPh sb="66" eb="68">
      <t>ジョウホウ</t>
    </rPh>
    <rPh sb="85" eb="86">
      <t>アキナ</t>
    </rPh>
    <rPh sb="87" eb="89">
      <t>ジョウホウ</t>
    </rPh>
    <rPh sb="116" eb="117">
      <t>アキナ</t>
    </rPh>
    <rPh sb="118" eb="120">
      <t>ジョウホウ</t>
    </rPh>
    <rPh sb="121" eb="123">
      <t>ハッチュウ</t>
    </rPh>
    <rPh sb="123" eb="125">
      <t>タンイ</t>
    </rPh>
    <rPh sb="125" eb="126">
      <t>スウ</t>
    </rPh>
    <rPh sb="134" eb="135">
      <t>アキナ</t>
    </rPh>
    <rPh sb="136" eb="138">
      <t>ジョウホウ</t>
    </rPh>
    <rPh sb="149" eb="151">
      <t>ヘンコウ</t>
    </rPh>
    <phoneticPr fontId="3"/>
  </si>
  <si>
    <t>発注単位索引用１</t>
    <rPh sb="0" eb="2">
      <t>ハッチュウ</t>
    </rPh>
    <rPh sb="2" eb="4">
      <t>タンイ</t>
    </rPh>
    <rPh sb="4" eb="6">
      <t>サクイン</t>
    </rPh>
    <rPh sb="6" eb="7">
      <t>ヨウ</t>
    </rPh>
    <phoneticPr fontId="3"/>
  </si>
  <si>
    <t>eBASE岡内</t>
    <rPh sb="5" eb="7">
      <t>オカウチ</t>
    </rPh>
    <phoneticPr fontId="3"/>
  </si>
  <si>
    <t>・「EBMDM商い情報:適用開始日」が「最短の適用開始日（※）」以降の場合（=翌々日以降適用）</t>
    <phoneticPr fontId="3"/>
  </si>
  <si>
    <t>■申請Vol</t>
    <rPh sb="1" eb="3">
      <t>シンセイ</t>
    </rPh>
    <phoneticPr fontId="3"/>
  </si>
  <si>
    <t>・商いレコードの「EBMDMデータ管理:システム制御用フラグ１」＝"1"(ロック)であること。</t>
    <rPh sb="1" eb="2">
      <t>アキナ</t>
    </rPh>
    <rPh sb="17" eb="19">
      <t>カンリ</t>
    </rPh>
    <phoneticPr fontId="3"/>
  </si>
  <si>
    <t>■公開Vol</t>
    <rPh sb="1" eb="3">
      <t>コウカイ</t>
    </rPh>
    <phoneticPr fontId="3"/>
  </si>
  <si>
    <t>概要：以下の記載を変更
・申請→公開コピータイミング変更による条件の変更
・適用開始日=翌日のIF追加による条件の変更</t>
    <rPh sb="3" eb="5">
      <t>イカ</t>
    </rPh>
    <rPh sb="6" eb="8">
      <t>キサイ</t>
    </rPh>
    <rPh sb="9" eb="11">
      <t>ヘンコウ</t>
    </rPh>
    <rPh sb="13" eb="15">
      <t>シンセイ</t>
    </rPh>
    <rPh sb="16" eb="18">
      <t>コウカイ</t>
    </rPh>
    <rPh sb="26" eb="28">
      <t>ヘンコウ</t>
    </rPh>
    <rPh sb="31" eb="33">
      <t>ジョウケン</t>
    </rPh>
    <rPh sb="34" eb="36">
      <t>ヘンコウ</t>
    </rPh>
    <rPh sb="38" eb="40">
      <t>テキヨウ</t>
    </rPh>
    <rPh sb="40" eb="43">
      <t>カイシビ</t>
    </rPh>
    <rPh sb="44" eb="46">
      <t>ヨクジツ</t>
    </rPh>
    <rPh sb="49" eb="51">
      <t>ツイカ</t>
    </rPh>
    <rPh sb="54" eb="56">
      <t>ジョウケン</t>
    </rPh>
    <rPh sb="57" eb="59">
      <t>ヘンコウ</t>
    </rPh>
    <phoneticPr fontId="3"/>
  </si>
  <si>
    <t>eBASE杉元</t>
    <rPh sb="5" eb="7">
      <t>スギモト</t>
    </rPh>
    <phoneticPr fontId="3"/>
  </si>
  <si>
    <t>概要シート
出力条件追加</t>
    <rPh sb="0" eb="2">
      <t>ガイヨウ</t>
    </rPh>
    <rPh sb="6" eb="8">
      <t>シュツリョク</t>
    </rPh>
    <rPh sb="8" eb="10">
      <t>ジョウケン</t>
    </rPh>
    <rPh sb="10" eb="12">
      <t>ツイカ</t>
    </rPh>
    <phoneticPr fontId="3"/>
  </si>
  <si>
    <t>開発Vol（00002）で、以下の特定タスクが完了した際、紐づくレコード（製品・本部商い）の項目値を抽出する。</t>
    <rPh sb="0" eb="2">
      <t>カイハツ</t>
    </rPh>
    <rPh sb="14" eb="16">
      <t>イカ</t>
    </rPh>
    <rPh sb="17" eb="19">
      <t>トクテイ</t>
    </rPh>
    <rPh sb="23" eb="25">
      <t>カンリョウ</t>
    </rPh>
    <rPh sb="27" eb="28">
      <t>サイ</t>
    </rPh>
    <rPh sb="29" eb="30">
      <t>ヒモ</t>
    </rPh>
    <rPh sb="37" eb="39">
      <t>セイヒン</t>
    </rPh>
    <rPh sb="40" eb="42">
      <t>ホンブ</t>
    </rPh>
    <rPh sb="42" eb="43">
      <t>アキナ</t>
    </rPh>
    <rPh sb="46" eb="48">
      <t>コウモク</t>
    </rPh>
    <rPh sb="48" eb="49">
      <t>チ</t>
    </rPh>
    <rPh sb="50" eb="52">
      <t>チュウシュツ</t>
    </rPh>
    <phoneticPr fontId="3"/>
  </si>
  <si>
    <t>詳細のカスタマイズ内容は以下を参照</t>
    <rPh sb="0" eb="2">
      <t>ショウサイ</t>
    </rPh>
    <rPh sb="9" eb="11">
      <t>ナイヨウ</t>
    </rPh>
    <rPh sb="12" eb="14">
      <t>イカ</t>
    </rPh>
    <rPh sb="15" eb="17">
      <t>サンショウ</t>
    </rPh>
    <phoneticPr fontId="3"/>
  </si>
  <si>
    <t>※本部商いレコードであるルールはレコードIDが「JANコード_代表仕入先コード_0001」</t>
    <rPh sb="1" eb="3">
      <t>ホンブ</t>
    </rPh>
    <rPh sb="3" eb="4">
      <t>アキナ</t>
    </rPh>
    <rPh sb="31" eb="33">
      <t>ダイヒョウ</t>
    </rPh>
    <rPh sb="33" eb="36">
      <t>シイレサキ</t>
    </rPh>
    <phoneticPr fontId="3"/>
  </si>
  <si>
    <t>gw3\PROJECT\カインズ\30_設計\30_カスタマイズ機能設計</t>
    <phoneticPr fontId="3"/>
  </si>
  <si>
    <t>・【PJ C+】【SHO】カスタマイズ機能設計書_A1(新井分)_v0.XX.xlsx</t>
    <phoneticPr fontId="3"/>
  </si>
  <si>
    <t>└A1-7-16シート</t>
    <phoneticPr fontId="3"/>
  </si>
  <si>
    <t>条件判定Vol</t>
    <rPh sb="0" eb="2">
      <t>ジョウケン</t>
    </rPh>
    <rPh sb="2" eb="4">
      <t>ハンテイ</t>
    </rPh>
    <phoneticPr fontId="3"/>
  </si>
  <si>
    <t>00002：PB開発管理</t>
    <rPh sb="8" eb="10">
      <t>カイハツ</t>
    </rPh>
    <rPh sb="10" eb="12">
      <t>カンリ</t>
    </rPh>
    <phoneticPr fontId="3"/>
  </si>
  <si>
    <t>判定条件</t>
    <rPh sb="0" eb="2">
      <t>ハンテイ</t>
    </rPh>
    <rPh sb="2" eb="4">
      <t>ジョウケン</t>
    </rPh>
    <phoneticPr fontId="3"/>
  </si>
  <si>
    <t>項目</t>
    <rPh sb="0" eb="2">
      <t>コウモク</t>
    </rPh>
    <phoneticPr fontId="3"/>
  </si>
  <si>
    <t>値</t>
    <rPh sb="0" eb="1">
      <t>アタイ</t>
    </rPh>
    <phoneticPr fontId="3"/>
  </si>
  <si>
    <t>値は完全一致であること</t>
    <rPh sb="0" eb="1">
      <t>アタイ</t>
    </rPh>
    <rPh sb="2" eb="4">
      <t>カンゼン</t>
    </rPh>
    <rPh sb="4" eb="6">
      <t>イッチ</t>
    </rPh>
    <phoneticPr fontId="3"/>
  </si>
  <si>
    <t>完了日</t>
    <rPh sb="0" eb="3">
      <t>カンリョウビ</t>
    </rPh>
    <phoneticPr fontId="3"/>
  </si>
  <si>
    <t>紐付く製品レコード（EBMDMデータ管理：データ属性＝"0"（製品））の以下も判定条件</t>
    <rPh sb="0" eb="1">
      <t>ヒモ</t>
    </rPh>
    <rPh sb="1" eb="2">
      <t>ツ</t>
    </rPh>
    <rPh sb="3" eb="5">
      <t>セイヒン</t>
    </rPh>
    <rPh sb="18" eb="20">
      <t>カンリ</t>
    </rPh>
    <rPh sb="24" eb="26">
      <t>ゾクセイ</t>
    </rPh>
    <rPh sb="31" eb="33">
      <t>セイヒン</t>
    </rPh>
    <rPh sb="36" eb="38">
      <t>イカ</t>
    </rPh>
    <rPh sb="39" eb="41">
      <t>ハンテイ</t>
    </rPh>
    <rPh sb="41" eb="43">
      <t>ジョウケン</t>
    </rPh>
    <phoneticPr fontId="3"/>
  </si>
  <si>
    <t>EBMDMデータ管理</t>
  </si>
  <si>
    <t>システム制御用フラグ２</t>
  </si>
  <si>
    <t>’1'(対象)</t>
  </si>
  <si>
    <t>紐付く本部商いレコード（EBMDMデータ管理：データ属性＝"1"（商い））の以下も判定条件</t>
    <rPh sb="0" eb="1">
      <t>ヒモ</t>
    </rPh>
    <rPh sb="1" eb="2">
      <t>ツ</t>
    </rPh>
    <rPh sb="3" eb="5">
      <t>ホンブ</t>
    </rPh>
    <rPh sb="5" eb="6">
      <t>アキナ</t>
    </rPh>
    <rPh sb="20" eb="22">
      <t>カンリ</t>
    </rPh>
    <rPh sb="26" eb="28">
      <t>ゾクセイ</t>
    </rPh>
    <rPh sb="33" eb="34">
      <t>アキナ</t>
    </rPh>
    <phoneticPr fontId="3"/>
  </si>
  <si>
    <t>"001"(仮登録)</t>
    <rPh sb="5" eb="8">
      <t>カリトウロク</t>
    </rPh>
    <phoneticPr fontId="3"/>
  </si>
  <si>
    <t>適用開始日</t>
    <rPh sb="0" eb="2">
      <t>テキヨウ</t>
    </rPh>
    <rPh sb="2" eb="4">
      <t>カイシ</t>
    </rPh>
    <rPh sb="4" eb="5">
      <t>ビ</t>
    </rPh>
    <phoneticPr fontId="3"/>
  </si>
  <si>
    <t>７．備考</t>
    <rPh sb="2" eb="4">
      <t>ビコウ</t>
    </rPh>
    <phoneticPr fontId="3"/>
  </si>
  <si>
    <t>原価_統一</t>
  </si>
  <si>
    <t>売価_統一</t>
  </si>
  <si>
    <t>発注可能開始日索引用１</t>
    <rPh sb="0" eb="2">
      <t>ハッチュウ</t>
    </rPh>
    <rPh sb="2" eb="4">
      <t>カノウ</t>
    </rPh>
    <rPh sb="4" eb="6">
      <t>カイシ</t>
    </rPh>
    <rPh sb="6" eb="7">
      <t>ビ</t>
    </rPh>
    <rPh sb="7" eb="9">
      <t>サクイン</t>
    </rPh>
    <rPh sb="9" eb="10">
      <t>ヨウ</t>
    </rPh>
    <phoneticPr fontId="3"/>
  </si>
  <si>
    <t>発注可能終了日索引用１</t>
    <rPh sb="0" eb="2">
      <t>ハッチュウ</t>
    </rPh>
    <rPh sb="2" eb="4">
      <t>カノウ</t>
    </rPh>
    <rPh sb="4" eb="7">
      <t>シュウリョウビ</t>
    </rPh>
    <rPh sb="7" eb="9">
      <t>サクイン</t>
    </rPh>
    <rPh sb="9" eb="10">
      <t>ヨウ</t>
    </rPh>
    <phoneticPr fontId="3"/>
  </si>
  <si>
    <t>店舗発注開始日_統一</t>
  </si>
  <si>
    <t>店舗発注終了日_統一</t>
  </si>
  <si>
    <t>商品期限対象フラグ</t>
    <rPh sb="0" eb="2">
      <t>ショウヒン</t>
    </rPh>
    <rPh sb="2" eb="4">
      <t>キゲン</t>
    </rPh>
    <rPh sb="4" eb="6">
      <t>タイショウ</t>
    </rPh>
    <phoneticPr fontId="3"/>
  </si>
  <si>
    <t>送信対象フラグ</t>
  </si>
  <si>
    <t>MDPro送信対象フラグ</t>
  </si>
  <si>
    <t>PMM登録済フラグ</t>
  </si>
  <si>
    <t>PMM商品階層登録済フラグ</t>
  </si>
  <si>
    <t>原単価利用区分</t>
    <rPh sb="0" eb="3">
      <t>ゲンタンカ</t>
    </rPh>
    <rPh sb="3" eb="5">
      <t>リヨウ</t>
    </rPh>
    <rPh sb="5" eb="7">
      <t>クブン</t>
    </rPh>
    <phoneticPr fontId="3"/>
  </si>
  <si>
    <t>PC商品指示_送信対象フラグ</t>
    <phoneticPr fontId="3"/>
  </si>
  <si>
    <t>発注単位_統一_個数</t>
    <rPh sb="0" eb="2">
      <t>ハッチュウ</t>
    </rPh>
    <rPh sb="2" eb="4">
      <t>タンイ</t>
    </rPh>
    <rPh sb="5" eb="7">
      <t>トウイツ</t>
    </rPh>
    <rPh sb="8" eb="10">
      <t>コスウ</t>
    </rPh>
    <phoneticPr fontId="3"/>
  </si>
  <si>
    <t>商品マスタ_CzPOS属性</t>
    <phoneticPr fontId="3"/>
  </si>
  <si>
    <t>商品マスタ_CzPOS属性</t>
    <phoneticPr fontId="3"/>
  </si>
  <si>
    <t>■マッピングシート
・原価（統一）→原価_統一に変更
・売価（統一）→売価_統一に変更
・発注開始日→店舗発注開始日_統一に変更
・発注終了日→店舗発注終了日_統一に変更
・EBMDM商い情報:発注可能開始日→EBMDM商い情報:発注可能開始日索引用１に変更
・EBMDM商い情報:発注可能終了日→EBMDM商い情報:発注可能終了日索引用１に変更
・商品期限有無→商品期限対象フラグに変更
・原単価利用→原単価利用区分に変更
・VMI登録取引先→VMI登録時_代表取引先コードに変更
・送信対象フラグを追加
・MDPro送信対象フラグを追加
・PMM登録済フラグを追加
・PMM商品階層登録済フラグを追加
・処理PGコードを削除
・EBMDM製品情報:法人コードを削除
■変換先項目出力順
新規追加</t>
    <rPh sb="321" eb="323">
      <t>セイヒン</t>
    </rPh>
    <rPh sb="323" eb="325">
      <t>ジョウホウ</t>
    </rPh>
    <rPh sb="326" eb="328">
      <t>ホウジン</t>
    </rPh>
    <rPh sb="332" eb="334">
      <t>サクジョ</t>
    </rPh>
    <rPh sb="337" eb="339">
      <t>ヘンカン</t>
    </rPh>
    <rPh sb="339" eb="340">
      <t>サキ</t>
    </rPh>
    <rPh sb="340" eb="342">
      <t>コウモク</t>
    </rPh>
    <rPh sb="342" eb="344">
      <t>シュツリョク</t>
    </rPh>
    <rPh sb="344" eb="345">
      <t>ジュン</t>
    </rPh>
    <rPh sb="346" eb="348">
      <t>シンキ</t>
    </rPh>
    <rPh sb="348" eb="350">
      <t>ツイカ</t>
    </rPh>
    <phoneticPr fontId="3"/>
  </si>
  <si>
    <t>■マッピングシート
赤文字部分追記</t>
    <rPh sb="10" eb="11">
      <t>アカ</t>
    </rPh>
    <rPh sb="11" eb="13">
      <t>モジ</t>
    </rPh>
    <rPh sb="13" eb="15">
      <t>ブブン</t>
    </rPh>
    <rPh sb="15" eb="17">
      <t>ツイキ</t>
    </rPh>
    <phoneticPr fontId="3"/>
  </si>
  <si>
    <t>eBASE王</t>
    <rPh sb="5" eb="6">
      <t>オウ</t>
    </rPh>
    <phoneticPr fontId="3"/>
  </si>
  <si>
    <t>以下の項目、処理内容を「固定値」から「値コピー」へ変更
・送信対象フラグ
・MDPro送信対象フラグ
・PMM登録済フラグ
・PMM商品階層登録済フラグ
・PC商品指示_送信対象フラグ
変換元の値の設置は、eB-script側で対応する</t>
    <rPh sb="0" eb="2">
      <t>イカ</t>
    </rPh>
    <rPh sb="3" eb="5">
      <t>コウモク</t>
    </rPh>
    <rPh sb="6" eb="8">
      <t>ショリ</t>
    </rPh>
    <rPh sb="8" eb="10">
      <t>ナイヨウ</t>
    </rPh>
    <rPh sb="12" eb="14">
      <t>コテイ</t>
    </rPh>
    <rPh sb="14" eb="15">
      <t>チ</t>
    </rPh>
    <rPh sb="19" eb="20">
      <t>アタイ</t>
    </rPh>
    <rPh sb="25" eb="27">
      <t>ヘンコウ</t>
    </rPh>
    <rPh sb="94" eb="96">
      <t>ヘンカン</t>
    </rPh>
    <rPh sb="96" eb="97">
      <t>モト</t>
    </rPh>
    <rPh sb="98" eb="99">
      <t>アタイ</t>
    </rPh>
    <rPh sb="100" eb="102">
      <t>セッチ</t>
    </rPh>
    <rPh sb="113" eb="114">
      <t>ガワ</t>
    </rPh>
    <rPh sb="115" eb="117">
      <t>タイオウ</t>
    </rPh>
    <phoneticPr fontId="3"/>
  </si>
  <si>
    <t>原単価索引用１（税抜）</t>
    <rPh sb="0" eb="3">
      <t>ゲンタンカ</t>
    </rPh>
    <rPh sb="3" eb="5">
      <t>サクイン</t>
    </rPh>
    <rPh sb="5" eb="6">
      <t>ヨウ</t>
    </rPh>
    <rPh sb="8" eb="10">
      <t>ゼイヌキ</t>
    </rPh>
    <phoneticPr fontId="3"/>
  </si>
  <si>
    <t>売単価索引用１（税込）</t>
    <rPh sb="0" eb="1">
      <t>バイ</t>
    </rPh>
    <rPh sb="1" eb="3">
      <t>タンカ</t>
    </rPh>
    <rPh sb="3" eb="5">
      <t>サクイン</t>
    </rPh>
    <rPh sb="5" eb="6">
      <t>ヨウ</t>
    </rPh>
    <rPh sb="8" eb="10">
      <t>ゼイコミ</t>
    </rPh>
    <phoneticPr fontId="3"/>
  </si>
  <si>
    <t>登録者</t>
    <rPh sb="0" eb="2">
      <t>トウロク</t>
    </rPh>
    <rPh sb="2" eb="3">
      <t>シャ</t>
    </rPh>
    <phoneticPr fontId="3"/>
  </si>
  <si>
    <t>マッピングシート
EBMDMデータ管理:登録者　追加</t>
    <rPh sb="17" eb="19">
      <t>カンリ</t>
    </rPh>
    <rPh sb="20" eb="22">
      <t>トウロク</t>
    </rPh>
    <rPh sb="22" eb="23">
      <t>シャ</t>
    </rPh>
    <rPh sb="24" eb="26">
      <t>ツイカ</t>
    </rPh>
    <phoneticPr fontId="3"/>
  </si>
  <si>
    <t>売仕切原価率</t>
    <rPh sb="0" eb="1">
      <t>バイ</t>
    </rPh>
    <rPh sb="1" eb="3">
      <t>シキリ</t>
    </rPh>
    <rPh sb="3" eb="5">
      <t>ゲンカ</t>
    </rPh>
    <rPh sb="5" eb="6">
      <t>リツ</t>
    </rPh>
    <phoneticPr fontId="3"/>
  </si>
  <si>
    <t/>
  </si>
  <si>
    <t>社内ユーザーは8桁、取引先は6桁のIDを使用する。</t>
    <rPh sb="0" eb="2">
      <t>シャナイ</t>
    </rPh>
    <rPh sb="8" eb="9">
      <t>ケタ</t>
    </rPh>
    <rPh sb="10" eb="12">
      <t>トリヒキ</t>
    </rPh>
    <rPh sb="12" eb="13">
      <t>サキ</t>
    </rPh>
    <rPh sb="15" eb="16">
      <t>ケタ</t>
    </rPh>
    <rPh sb="20" eb="22">
      <t>シヨウ</t>
    </rPh>
    <phoneticPr fontId="3"/>
  </si>
  <si>
    <t>"24"固定</t>
    <rPh sb="4" eb="6">
      <t>コテイ</t>
    </rPh>
    <phoneticPr fontId="3"/>
  </si>
  <si>
    <t>"0"固定</t>
    <rPh sb="3" eb="5">
      <t>コテイ</t>
    </rPh>
    <phoneticPr fontId="3"/>
  </si>
  <si>
    <t>1.3（5桁）</t>
    <rPh sb="5" eb="6">
      <t>ケタ</t>
    </rPh>
    <phoneticPr fontId="3"/>
  </si>
  <si>
    <t>マッピングシート
読み合わせ結果を反映</t>
    <rPh sb="9" eb="10">
      <t>ヨ</t>
    </rPh>
    <rPh sb="11" eb="12">
      <t>ア</t>
    </rPh>
    <rPh sb="14" eb="16">
      <t>ケッカ</t>
    </rPh>
    <rPh sb="17" eb="19">
      <t>ハンエイ</t>
    </rPh>
    <phoneticPr fontId="3"/>
  </si>
  <si>
    <t>VMI取引先コード</t>
    <rPh sb="3" eb="5">
      <t>トリヒキ</t>
    </rPh>
    <rPh sb="5" eb="6">
      <t>サキ</t>
    </rPh>
    <phoneticPr fontId="3"/>
  </si>
  <si>
    <t>３．出力のタイミング・方式</t>
    <rPh sb="2" eb="4">
      <t>シュツリョク</t>
    </rPh>
    <rPh sb="11" eb="13">
      <t>ホウシキ</t>
    </rPh>
    <phoneticPr fontId="3"/>
  </si>
  <si>
    <t>日次・差分</t>
    <rPh sb="0" eb="2">
      <t>ニチジ</t>
    </rPh>
    <rPh sb="3" eb="5">
      <t>サブン</t>
    </rPh>
    <phoneticPr fontId="3"/>
  </si>
  <si>
    <t>４．出力前の処理</t>
    <rPh sb="2" eb="4">
      <t>シュツリョク</t>
    </rPh>
    <rPh sb="4" eb="5">
      <t>マエ</t>
    </rPh>
    <rPh sb="6" eb="8">
      <t>ショリ</t>
    </rPh>
    <phoneticPr fontId="3"/>
  </si>
  <si>
    <t>なし</t>
    <phoneticPr fontId="3"/>
  </si>
  <si>
    <t>５．出力条件</t>
    <rPh sb="2" eb="4">
      <t>シュツリョク</t>
    </rPh>
    <rPh sb="4" eb="6">
      <t>ジョウケン</t>
    </rPh>
    <phoneticPr fontId="3"/>
  </si>
  <si>
    <t>製品レコードのEBMDMデータ管理：システム制御用フラグ２に’0'(対象外)をセット</t>
    <rPh sb="0" eb="2">
      <t>セイヒン</t>
    </rPh>
    <rPh sb="34" eb="36">
      <t>タイショウ</t>
    </rPh>
    <rPh sb="36" eb="37">
      <t>ガイ</t>
    </rPh>
    <phoneticPr fontId="3"/>
  </si>
  <si>
    <t>６．出力後の処理</t>
    <rPh sb="2" eb="4">
      <t>シュツリョク</t>
    </rPh>
    <rPh sb="4" eb="5">
      <t>アト</t>
    </rPh>
    <rPh sb="6" eb="8">
      <t>ショリ</t>
    </rPh>
    <phoneticPr fontId="3"/>
  </si>
  <si>
    <t>・「EBMDMデータ管理:システム制御用フラグ５」="1"（連携対象）であること。</t>
    <rPh sb="30" eb="32">
      <t>レンケイ</t>
    </rPh>
    <rPh sb="32" eb="34">
      <t>タイショウ</t>
    </rPh>
    <phoneticPr fontId="3"/>
  </si>
  <si>
    <t>・商いレコードの更新日時が前回連携日時以降であること。</t>
    <rPh sb="1" eb="2">
      <t>アキナ</t>
    </rPh>
    <rPh sb="8" eb="10">
      <t>コウシン</t>
    </rPh>
    <rPh sb="10" eb="12">
      <t>ニチジ</t>
    </rPh>
    <rPh sb="13" eb="15">
      <t>ゼンカイ</t>
    </rPh>
    <rPh sb="15" eb="17">
      <t>レンケイ</t>
    </rPh>
    <rPh sb="17" eb="19">
      <t>ニチジ</t>
    </rPh>
    <rPh sb="19" eb="21">
      <t>イコウ</t>
    </rPh>
    <phoneticPr fontId="3"/>
  </si>
  <si>
    <t>※ 最短の適用開始日</t>
    <rPh sb="2" eb="4">
      <t>サイタン</t>
    </rPh>
    <rPh sb="5" eb="7">
      <t>テキヨウ</t>
    </rPh>
    <rPh sb="7" eb="10">
      <t>カイシビ</t>
    </rPh>
    <phoneticPr fontId="5"/>
  </si>
  <si>
    <t>ボリューム</t>
    <phoneticPr fontId="5"/>
  </si>
  <si>
    <t>Vol00012:カインズサブマスタ（更新系）</t>
    <phoneticPr fontId="5"/>
  </si>
  <si>
    <t>スペックタイプ</t>
    <phoneticPr fontId="5"/>
  </si>
  <si>
    <t>「カインズサブマスタ更新系【管理】:データ属性」="9997"（業務日付）</t>
    <rPh sb="21" eb="23">
      <t>ゾクセイ</t>
    </rPh>
    <phoneticPr fontId="5"/>
  </si>
  <si>
    <t>スペック項目</t>
    <rPh sb="4" eb="6">
      <t>コウモク</t>
    </rPh>
    <phoneticPr fontId="5"/>
  </si>
  <si>
    <t>業務日付区分="02"（最短の適用開始日）</t>
    <phoneticPr fontId="5"/>
  </si>
  <si>
    <t>２．実現する機能</t>
    <rPh sb="2" eb="4">
      <t>ジツゲン</t>
    </rPh>
    <rPh sb="6" eb="8">
      <t>キノウ</t>
    </rPh>
    <phoneticPr fontId="3"/>
  </si>
  <si>
    <t>５-１．ボリューム別条件</t>
    <rPh sb="9" eb="10">
      <t>ベツ</t>
    </rPh>
    <rPh sb="10" eb="12">
      <t>ジョウケン</t>
    </rPh>
    <phoneticPr fontId="3"/>
  </si>
  <si>
    <t>統合マスタ申請vol及び、統合マスタ公開volより、</t>
    <rPh sb="0" eb="2">
      <t>トウゴウ</t>
    </rPh>
    <rPh sb="5" eb="7">
      <t>シンセイ</t>
    </rPh>
    <rPh sb="10" eb="11">
      <t>オヨ</t>
    </rPh>
    <rPh sb="13" eb="15">
      <t>トウゴウ</t>
    </rPh>
    <rPh sb="18" eb="20">
      <t>コウカイ</t>
    </rPh>
    <phoneticPr fontId="3"/>
  </si>
  <si>
    <t>法人コード</t>
  </si>
  <si>
    <t>商品No</t>
  </si>
  <si>
    <t>発注単位_統一_個数</t>
  </si>
  <si>
    <t>VMI区分</t>
  </si>
  <si>
    <t>商品期限対象フラグ</t>
  </si>
  <si>
    <t>基準コード</t>
  </si>
  <si>
    <t>基準期間</t>
  </si>
  <si>
    <t>売仕切原価率</t>
  </si>
  <si>
    <t>原単価利用区分</t>
  </si>
  <si>
    <t>VMI登録時_代表取引先コード</t>
  </si>
  <si>
    <t>PC商品指示_送信対象フラグ</t>
  </si>
  <si>
    <t>処理区分</t>
  </si>
  <si>
    <t>IF連携日時</t>
    <rPh sb="2" eb="4">
      <t>レンケイ</t>
    </rPh>
    <rPh sb="4" eb="6">
      <t>ニチジ</t>
    </rPh>
    <phoneticPr fontId="2"/>
  </si>
  <si>
    <t>ユーザーID</t>
  </si>
  <si>
    <t>VMI登録時_代表取引先コード</t>
    <rPh sb="3" eb="5">
      <t>トウロク</t>
    </rPh>
    <rPh sb="5" eb="6">
      <t>ジ</t>
    </rPh>
    <rPh sb="7" eb="9">
      <t>ダイヒョウ</t>
    </rPh>
    <rPh sb="9" eb="11">
      <t>トリヒキ</t>
    </rPh>
    <rPh sb="11" eb="12">
      <t>サキ</t>
    </rPh>
    <phoneticPr fontId="3"/>
  </si>
  <si>
    <t>概要：条件を修正、各項目名統一化</t>
    <rPh sb="0" eb="2">
      <t>ガイヨウ</t>
    </rPh>
    <rPh sb="3" eb="5">
      <t>ジョウケン</t>
    </rPh>
    <rPh sb="6" eb="8">
      <t>シュウセイ</t>
    </rPh>
    <rPh sb="9" eb="10">
      <t>カク</t>
    </rPh>
    <rPh sb="10" eb="12">
      <t>コウモク</t>
    </rPh>
    <rPh sb="12" eb="13">
      <t>メイ</t>
    </rPh>
    <rPh sb="13" eb="15">
      <t>トウイツ</t>
    </rPh>
    <rPh sb="15" eb="16">
      <t>カ</t>
    </rPh>
    <phoneticPr fontId="3"/>
  </si>
  <si>
    <t>賞味期間区分の値によりセットする。
NVL　0</t>
    <rPh sb="0" eb="4">
      <t>ショウミキカン</t>
    </rPh>
    <rPh sb="4" eb="6">
      <t>クブン</t>
    </rPh>
    <rPh sb="7" eb="8">
      <t>アタイ</t>
    </rPh>
    <phoneticPr fontId="3"/>
  </si>
  <si>
    <t>NULLの場合、'0'をセットする。</t>
    <phoneticPr fontId="3"/>
  </si>
  <si>
    <t>マッピング項目を変更。
代表仕入先コード⇒VMI取引先コード</t>
    <rPh sb="5" eb="7">
      <t>コウモク</t>
    </rPh>
    <rPh sb="8" eb="10">
      <t>ヘンコウ</t>
    </rPh>
    <rPh sb="12" eb="14">
      <t>ダイヒョウ</t>
    </rPh>
    <rPh sb="14" eb="16">
      <t>シイレ</t>
    </rPh>
    <rPh sb="16" eb="17">
      <t>サキ</t>
    </rPh>
    <rPh sb="24" eb="26">
      <t>トリヒキ</t>
    </rPh>
    <rPh sb="26" eb="27">
      <t>サキ</t>
    </rPh>
    <phoneticPr fontId="3"/>
  </si>
  <si>
    <t>チェックロジックで制御。（半角数値3文字）</t>
    <rPh sb="9" eb="11">
      <t>セイギョ</t>
    </rPh>
    <rPh sb="13" eb="15">
      <t>ハンカク</t>
    </rPh>
    <rPh sb="15" eb="17">
      <t>スウチ</t>
    </rPh>
    <rPh sb="18" eb="20">
      <t>モジ</t>
    </rPh>
    <phoneticPr fontId="3"/>
  </si>
  <si>
    <t>チェックロジックで制御。（9.2（12桁））</t>
    <rPh sb="9" eb="11">
      <t>セイギョ</t>
    </rPh>
    <rPh sb="19" eb="20">
      <t>ケタ</t>
    </rPh>
    <phoneticPr fontId="3"/>
  </si>
  <si>
    <t>賞味期間区分の値によりセットする。
名称マスタ「301」</t>
    <rPh sb="0" eb="4">
      <t>ショウミキカン</t>
    </rPh>
    <rPh sb="4" eb="6">
      <t>クブン</t>
    </rPh>
    <rPh sb="7" eb="8">
      <t>アタイ</t>
    </rPh>
    <rPh sb="18" eb="20">
      <t>メイショウ</t>
    </rPh>
    <phoneticPr fontId="3"/>
  </si>
  <si>
    <t>※上記は他IF全ての連携後に実行するため、別処理とする。</t>
  </si>
  <si>
    <t>・「EBMDMデータ管理:連携予定日」が「最短の適用開始日（※）」の前々日（=当日）</t>
    <rPh sb="34" eb="37">
      <t>ゼンゼンジツ</t>
    </rPh>
    <rPh sb="39" eb="41">
      <t>トウジツ</t>
    </rPh>
    <phoneticPr fontId="3"/>
  </si>
  <si>
    <t>eBASE岡内</t>
    <rPh sb="1" eb="7">
      <t>ｂａｓｅオカウチ</t>
    </rPh>
    <phoneticPr fontId="3"/>
  </si>
  <si>
    <t>■概要
公開Volの出力条件を変更。
「最短の適用開始日」の前日→「最短の適用開始日」の前々日</t>
    <rPh sb="1" eb="3">
      <t>ガイヨウ</t>
    </rPh>
    <rPh sb="4" eb="6">
      <t>コウカイ</t>
    </rPh>
    <rPh sb="10" eb="12">
      <t>シュツリョク</t>
    </rPh>
    <rPh sb="12" eb="14">
      <t>ジョウケン</t>
    </rPh>
    <rPh sb="15" eb="17">
      <t>ヘンコウ</t>
    </rPh>
    <phoneticPr fontId="3"/>
  </si>
  <si>
    <t>■概要
公開Volの出力条件から、以下を削除。
商いレコードの更新日時が前回連携日時以降であること。</t>
    <phoneticPr fontId="3"/>
  </si>
  <si>
    <t>確認者</t>
    <rPh sb="0" eb="2">
      <t>カクニン</t>
    </rPh>
    <rPh sb="2" eb="3">
      <t>シャ</t>
    </rPh>
    <phoneticPr fontId="3"/>
  </si>
  <si>
    <t>承認者</t>
    <rPh sb="0" eb="3">
      <t>ショウニンシャ</t>
    </rPh>
    <phoneticPr fontId="3"/>
  </si>
  <si>
    <t>eBASE新井</t>
    <rPh sb="5" eb="7">
      <t>アライ</t>
    </rPh>
    <phoneticPr fontId="3"/>
  </si>
  <si>
    <t>■マッピングシート
NSSOL様レビューの指摘内容を反映。
・発注単位統一_個数のデータ型を「文字列」から「数値」に修正。</t>
    <rPh sb="15" eb="16">
      <t>サマ</t>
    </rPh>
    <rPh sb="21" eb="23">
      <t>シテキ</t>
    </rPh>
    <rPh sb="23" eb="25">
      <t>ナイヨウ</t>
    </rPh>
    <rPh sb="26" eb="28">
      <t>ハンエイ</t>
    </rPh>
    <rPh sb="44" eb="45">
      <t>カタ</t>
    </rPh>
    <rPh sb="47" eb="50">
      <t>モジレツ</t>
    </rPh>
    <rPh sb="54" eb="56">
      <t>スウチ</t>
    </rPh>
    <rPh sb="58" eb="60">
      <t>シュウセイ</t>
    </rPh>
    <phoneticPr fontId="3"/>
  </si>
  <si>
    <t>タスク「◎原価等取引条件の登録」が完了</t>
    <rPh sb="17" eb="19">
      <t>カンリョウ</t>
    </rPh>
    <phoneticPr fontId="3"/>
  </si>
  <si>
    <t>スペックタイプ</t>
    <phoneticPr fontId="3"/>
  </si>
  <si>
    <t>WBS</t>
    <phoneticPr fontId="3"/>
  </si>
  <si>
    <t>ワークスタイル</t>
    <phoneticPr fontId="3"/>
  </si>
  <si>
    <t>◎原価等取引条件の登録</t>
    <phoneticPr fontId="3"/>
  </si>
  <si>
    <t>WBS</t>
    <phoneticPr fontId="3"/>
  </si>
  <si>
    <t>「最短の適用開始日（※）」の前々日（=当日）</t>
    <rPh sb="1" eb="3">
      <t>サイタン</t>
    </rPh>
    <rPh sb="4" eb="6">
      <t>テキヨウ</t>
    </rPh>
    <rPh sb="6" eb="9">
      <t>カイシビ</t>
    </rPh>
    <rPh sb="14" eb="17">
      <t>ゼンゼンジツ</t>
    </rPh>
    <rPh sb="19" eb="21">
      <t>トウジツ</t>
    </rPh>
    <phoneticPr fontId="3"/>
  </si>
  <si>
    <t>スペックタイプ</t>
    <phoneticPr fontId="3"/>
  </si>
  <si>
    <t>ステータス</t>
    <phoneticPr fontId="3"/>
  </si>
  <si>
    <t>上記の条件で出力される場合、以下の項目は連携日の翌日を設定する。</t>
    <rPh sb="0" eb="2">
      <t>ジョウキ</t>
    </rPh>
    <rPh sb="3" eb="5">
      <t>ジョウケン</t>
    </rPh>
    <rPh sb="6" eb="8">
      <t>シュツリョク</t>
    </rPh>
    <rPh sb="11" eb="13">
      <t>バアイ</t>
    </rPh>
    <rPh sb="14" eb="16">
      <t>イカ</t>
    </rPh>
    <rPh sb="17" eb="19">
      <t>コウモク</t>
    </rPh>
    <rPh sb="20" eb="22">
      <t>レンケイ</t>
    </rPh>
    <rPh sb="22" eb="23">
      <t>ビ</t>
    </rPh>
    <rPh sb="24" eb="26">
      <t>ヨクジツ</t>
    </rPh>
    <rPh sb="27" eb="29">
      <t>セッテイ</t>
    </rPh>
    <phoneticPr fontId="3"/>
  </si>
  <si>
    <t>スペックタイプ</t>
    <phoneticPr fontId="3"/>
  </si>
  <si>
    <t>「最短の適用開始日（※）」の前日（=翌日）</t>
    <rPh sb="17" eb="19">
      <t>ヨクジツ</t>
    </rPh>
    <phoneticPr fontId="3"/>
  </si>
  <si>
    <t>５-２．特定タスクの完了日をみた判定条件・出力条件</t>
    <rPh sb="4" eb="6">
      <t>トクテイ</t>
    </rPh>
    <rPh sb="10" eb="12">
      <t>カンリョウ</t>
    </rPh>
    <rPh sb="12" eb="13">
      <t>ビ</t>
    </rPh>
    <rPh sb="16" eb="18">
      <t>ハンテイ</t>
    </rPh>
    <rPh sb="18" eb="20">
      <t>ジョウケン</t>
    </rPh>
    <rPh sb="21" eb="23">
      <t>シュツリョク</t>
    </rPh>
    <rPh sb="23" eb="25">
      <t>ジョウケン</t>
    </rPh>
    <phoneticPr fontId="3"/>
  </si>
  <si>
    <t>５-３．適用開始日別条件</t>
    <rPh sb="4" eb="6">
      <t>テキヨウ</t>
    </rPh>
    <rPh sb="6" eb="9">
      <t>カイシビ</t>
    </rPh>
    <rPh sb="9" eb="10">
      <t>ベツ</t>
    </rPh>
    <rPh sb="10" eb="12">
      <t>ジョウケン</t>
    </rPh>
    <phoneticPr fontId="3"/>
  </si>
  <si>
    <t>・「EBMDM商い情報:適用開始日」が「最短の適用開始日（※）」の前日の場合（=翌日適用）</t>
    <rPh sb="33" eb="35">
      <t>ゼンジツ</t>
    </rPh>
    <phoneticPr fontId="3"/>
  </si>
  <si>
    <t>■概要
５-３．適用開始日別条件の翌日適用分について、記述を修正。</t>
    <rPh sb="1" eb="3">
      <t>ガイヨウ</t>
    </rPh>
    <rPh sb="17" eb="19">
      <t>ヨクジツ</t>
    </rPh>
    <rPh sb="19" eb="21">
      <t>テキヨウ</t>
    </rPh>
    <rPh sb="21" eb="22">
      <t>ブン</t>
    </rPh>
    <rPh sb="27" eb="29">
      <t>キジュツ</t>
    </rPh>
    <rPh sb="30" eb="32">
      <t>シュウセイ</t>
    </rPh>
    <phoneticPr fontId="3"/>
  </si>
  <si>
    <t>=IF(ISNOTBLANK(SRC_SPEC_VALUE),SRC_SPEC_VALUE,"0")</t>
    <phoneticPr fontId="3"/>
  </si>
  <si>
    <t>■マッピングシート
商品期限対象フラグのeB-scriptを追記</t>
    <rPh sb="30" eb="32">
      <t>ツイキ</t>
    </rPh>
    <phoneticPr fontId="3"/>
  </si>
  <si>
    <t>%表記からの単位変換。100で割る。</t>
    <rPh sb="1" eb="3">
      <t>ヒョウキ</t>
    </rPh>
    <rPh sb="6" eb="10">
      <t>タンイヘンカン</t>
    </rPh>
    <rPh sb="15" eb="16">
      <t>ワ</t>
    </rPh>
    <phoneticPr fontId="3"/>
  </si>
  <si>
    <t>100.0</t>
    <phoneticPr fontId="3"/>
  </si>
  <si>
    <t>■マッピングシート
「EBMDM商い情報:売り仕切原価率」の値を％表記から変換。</t>
    <rPh sb="16" eb="17">
      <t>アキナ</t>
    </rPh>
    <rPh sb="18" eb="20">
      <t>ジョウホウ</t>
    </rPh>
    <rPh sb="21" eb="22">
      <t>ウ</t>
    </rPh>
    <rPh sb="23" eb="25">
      <t>シキリ</t>
    </rPh>
    <rPh sb="25" eb="27">
      <t>ゲンカ</t>
    </rPh>
    <rPh sb="27" eb="28">
      <t>リツ</t>
    </rPh>
    <rPh sb="30" eb="31">
      <t>アタイ</t>
    </rPh>
    <rPh sb="33" eb="35">
      <t>ヒョウキ</t>
    </rPh>
    <rPh sb="37" eb="39">
      <t>ヘンカン</t>
    </rPh>
    <phoneticPr fontId="3"/>
  </si>
  <si>
    <t>=IF(ISNOTBLANK(SRC_SPEC_VALUE),SRC_SPEC_VALUE/100,"")</t>
    <phoneticPr fontId="3"/>
  </si>
  <si>
    <t>■マッピングシート
値変換項目（売仕切原価率）がNullの場合は、Nullのまま連携するように、eB-script記述内容を修正。</t>
    <rPh sb="10" eb="11">
      <t>アタイ</t>
    </rPh>
    <rPh sb="11" eb="13">
      <t>ヘンカン</t>
    </rPh>
    <rPh sb="13" eb="15">
      <t>コウモク</t>
    </rPh>
    <rPh sb="29" eb="31">
      <t>バアイ</t>
    </rPh>
    <rPh sb="40" eb="42">
      <t>レンケイ</t>
    </rPh>
    <phoneticPr fontId="3"/>
  </si>
  <si>
    <t>NULLの場合は、"0"で連携する</t>
    <rPh sb="5" eb="7">
      <t>バアイ</t>
    </rPh>
    <rPh sb="13" eb="15">
      <t>レンケイ</t>
    </rPh>
    <phoneticPr fontId="3"/>
  </si>
  <si>
    <t>■マッピングシート
「EBMDM商い情報:在庫区分２」がNullの場合、'0'で連携するよう変更。</t>
    <rPh sb="16" eb="17">
      <t>アキナ</t>
    </rPh>
    <rPh sb="18" eb="20">
      <t>ジョウホウ</t>
    </rPh>
    <rPh sb="33" eb="35">
      <t>バアイ</t>
    </rPh>
    <rPh sb="40" eb="42">
      <t>レンケイ</t>
    </rPh>
    <rPh sb="46" eb="48">
      <t>ヘンコウ</t>
    </rPh>
    <phoneticPr fontId="3"/>
  </si>
  <si>
    <t>=IF(ISNOTBLANK(SRC_SPEC_VALUE),IF(SRC_SPEC_VALUE="9999/12/31","99999999",TEXT(SRC_SPEC_VALUE,"yyyymmdd")),SRC_SPEC_VALUE)</t>
    <phoneticPr fontId="3"/>
  </si>
  <si>
    <t>■マッピングシート
「EBMDM商い情報:発注可能終了日索引用１」が'9999/12/31'の場合、'99999999'で連携するよう変更。</t>
    <rPh sb="47" eb="49">
      <t>バアイ</t>
    </rPh>
    <rPh sb="61" eb="63">
      <t>レンケイ</t>
    </rPh>
    <rPh sb="67" eb="69">
      <t>ヘンコウ</t>
    </rPh>
    <phoneticPr fontId="3"/>
  </si>
  <si>
    <t>ステータス</t>
  </si>
  <si>
    <t>ステータス='003'の場合、'D'を設定する。</t>
  </si>
  <si>
    <t>=IF(SRC_SPEC_VALUE="003","D","I")</t>
  </si>
  <si>
    <t>ステータス='003'の場合、'D'を設定する。</t>
    <phoneticPr fontId="3"/>
  </si>
  <si>
    <t>eBASE岡内</t>
  </si>
  <si>
    <t>■マッピングシート_x000D_
EBMDM商い情報:ステータスが'003'の場合、処理区分='D'で連携するよう修正。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</si>
</sst>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¥&quot;#,##0;[Red]&quot;¥&quot;\-#,##0"/>
  </numFmts>
  <fonts count="30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10"/>
      <color theme="0"/>
      <name val="Meiryo UI"/>
      <family val="3"/>
      <charset val="128"/>
    </font>
    <font>
      <sz val="6"/>
      <name val="ＭＳ Ｐゴシック"/>
      <family val="3"/>
      <charset val="128"/>
    </font>
    <font>
      <sz val="12"/>
      <color theme="1"/>
      <name val="Meiryo UI"/>
      <family val="3"/>
      <charset val="128"/>
    </font>
    <font>
      <sz val="10"/>
      <name val="Meiryo UI"/>
      <family val="3"/>
      <charset val="128"/>
    </font>
    <font>
      <sz val="9"/>
      <color rgb="FFFF0000"/>
      <name val="Meiryo UI"/>
      <family val="3"/>
      <charset val="128"/>
    </font>
    <font>
      <sz val="9"/>
      <color indexed="81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theme="0"/>
      <name val="Meiryo UI"/>
      <family val="3"/>
      <charset val="128"/>
    </font>
    <font>
      <sz val="10"/>
      <color rgb="FFFF0000"/>
      <name val="Meiryo UI"/>
      <family val="3"/>
      <charset val="128"/>
    </font>
    <font>
      <sz val="12"/>
      <name val="Meiryo UI"/>
      <family val="3"/>
      <charset val="128"/>
    </font>
    <font>
      <sz val="12"/>
      <color rgb="FFFF0000"/>
      <name val="Meiryo UI"/>
      <family val="3"/>
      <charset val="128"/>
    </font>
    <font>
      <sz val="10"/>
      <color rgb="FF008000"/>
      <name val="Meiryo UI"/>
      <family val="3"/>
      <charset val="128"/>
    </font>
    <font>
      <sz val="10"/>
      <color rgb="FF0000FF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6"/>
      <name val="游ゴシック"/>
      <family val="3"/>
      <charset val="128"/>
    </font>
    <font>
      <sz val="11"/>
      <name val="メイリオ"/>
      <family val="3"/>
      <charset val="128"/>
    </font>
    <font>
      <sz val="16"/>
      <name val="メイリオ"/>
      <family val="3"/>
      <charset val="128"/>
    </font>
    <font>
      <b/>
      <sz val="12"/>
      <name val="メイリオ"/>
      <family val="3"/>
      <charset val="128"/>
    </font>
    <font>
      <sz val="14"/>
      <name val="メイリオ"/>
      <family val="3"/>
      <charset val="128"/>
    </font>
    <font>
      <b/>
      <sz val="12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2"/>
      <color theme="1"/>
      <name val="メイリオ"/>
      <family val="3"/>
      <charset val="128"/>
    </font>
    <font>
      <sz val="12"/>
      <color rgb="FFFF0000"/>
      <name val="メイリオ"/>
      <family val="3"/>
      <charset val="128"/>
    </font>
    <font>
      <b/>
      <sz val="11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7" fillId="0" borderId="0"/>
    <xf numFmtId="0" fontId="17" fillId="0" borderId="0"/>
    <xf numFmtId="6" fontId="1" fillId="0" borderId="0" applyFont="0" applyFill="0" applyBorder="0" applyAlignment="0" applyProtection="0">
      <alignment vertical="center"/>
    </xf>
  </cellStyleXfs>
  <cellXfs count="17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4" fillId="2" borderId="1" xfId="1" applyFont="1" applyFill="1" applyBorder="1" applyAlignment="1">
      <alignment horizontal="center" vertical="center" wrapText="1" shrinkToFit="1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2" fillId="0" borderId="2" xfId="0" applyFont="1" applyBorder="1">
      <alignment vertical="center"/>
    </xf>
    <xf numFmtId="0" fontId="4" fillId="3" borderId="1" xfId="1" applyFont="1" applyFill="1" applyBorder="1" applyAlignment="1">
      <alignment horizontal="center" vertical="center" wrapText="1" shrinkToFit="1"/>
    </xf>
    <xf numFmtId="0" fontId="2" fillId="0" borderId="0" xfId="0" applyFont="1" applyAlignment="1" applyProtection="1">
      <alignment vertical="center" wrapText="1"/>
      <protection locked="0"/>
    </xf>
    <xf numFmtId="0" fontId="2" fillId="0" borderId="0" xfId="0" applyFo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49" fontId="2" fillId="0" borderId="0" xfId="0" applyNumberFormat="1" applyFont="1" applyProtection="1">
      <alignment vertical="center"/>
      <protection locked="0"/>
    </xf>
    <xf numFmtId="49" fontId="2" fillId="0" borderId="0" xfId="0" applyNumberFormat="1" applyFont="1">
      <alignment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7" fillId="0" borderId="0" xfId="0" applyFont="1" applyAlignment="1">
      <alignment vertical="center" shrinkToFit="1"/>
    </xf>
    <xf numFmtId="0" fontId="2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2" fillId="0" borderId="3" xfId="0" applyFont="1" applyBorder="1">
      <alignment vertical="center"/>
    </xf>
    <xf numFmtId="0" fontId="7" fillId="0" borderId="3" xfId="0" applyFont="1" applyBorder="1" applyAlignment="1">
      <alignment vertical="center" shrinkToFit="1"/>
    </xf>
    <xf numFmtId="0" fontId="2" fillId="0" borderId="3" xfId="0" applyFont="1" applyBorder="1" applyAlignment="1">
      <alignment vertical="center" wrapText="1"/>
    </xf>
    <xf numFmtId="0" fontId="6" fillId="0" borderId="0" xfId="0" applyFont="1">
      <alignment vertical="center"/>
    </xf>
    <xf numFmtId="0" fontId="11" fillId="5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>
      <alignment vertical="center"/>
    </xf>
    <xf numFmtId="0" fontId="11" fillId="6" borderId="1" xfId="1" applyFont="1" applyFill="1" applyBorder="1" applyAlignment="1">
      <alignment horizontal="center" vertical="center" wrapText="1" shrinkToFit="1"/>
    </xf>
    <xf numFmtId="0" fontId="12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center"/>
    </xf>
    <xf numFmtId="49" fontId="2" fillId="0" borderId="0" xfId="0" applyNumberFormat="1" applyFont="1" applyAlignment="1"/>
    <xf numFmtId="0" fontId="12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4" fillId="8" borderId="1" xfId="1" applyFont="1" applyFill="1" applyBorder="1" applyAlignment="1">
      <alignment horizontal="center" vertical="center" wrapText="1" shrinkToFit="1"/>
    </xf>
    <xf numFmtId="0" fontId="4" fillId="5" borderId="1" xfId="1" applyFont="1" applyFill="1" applyBorder="1" applyAlignment="1">
      <alignment horizontal="center" vertical="center" wrapText="1" shrinkToFit="1"/>
    </xf>
    <xf numFmtId="49" fontId="4" fillId="5" borderId="1" xfId="1" applyNumberFormat="1" applyFont="1" applyFill="1" applyBorder="1" applyAlignment="1">
      <alignment horizontal="center" vertical="center" wrapText="1" shrinkToFi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center" vertical="center" wrapText="1" shrinkToFit="1"/>
    </xf>
    <xf numFmtId="0" fontId="4" fillId="4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 applyProtection="1">
      <alignment horizontal="center" vertical="center"/>
      <protection locked="0"/>
    </xf>
    <xf numFmtId="0" fontId="11" fillId="0" borderId="0" xfId="1" applyFont="1" applyAlignment="1">
      <alignment horizontal="center" vertical="center" wrapText="1" shrinkToFit="1"/>
    </xf>
    <xf numFmtId="0" fontId="10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Protection="1">
      <alignment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49" fontId="2" fillId="0" borderId="1" xfId="0" applyNumberFormat="1" applyFont="1" applyBorder="1" applyProtection="1">
      <alignment vertical="center"/>
      <protection locked="0"/>
    </xf>
    <xf numFmtId="0" fontId="2" fillId="0" borderId="1" xfId="0" applyFont="1" applyBorder="1" applyAlignment="1" applyProtection="1">
      <alignment vertical="center" wrapText="1"/>
      <protection locked="0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4" fillId="9" borderId="5" xfId="1" applyFont="1" applyFill="1" applyBorder="1" applyAlignment="1">
      <alignment horizontal="center" vertical="center" wrapText="1" shrinkToFit="1"/>
    </xf>
    <xf numFmtId="0" fontId="4" fillId="9" borderId="7" xfId="1" applyFont="1" applyFill="1" applyBorder="1" applyAlignment="1">
      <alignment horizontal="center" vertical="center" wrapText="1" shrinkToFit="1"/>
    </xf>
    <xf numFmtId="0" fontId="13" fillId="0" borderId="3" xfId="0" applyFont="1" applyBorder="1" applyAlignment="1">
      <alignment vertical="center" shrinkToFit="1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/>
    <xf numFmtId="0" fontId="7" fillId="0" borderId="6" xfId="0" applyFont="1" applyBorder="1" applyAlignment="1" applyProtection="1">
      <alignment vertical="center" wrapText="1"/>
      <protection locked="0"/>
    </xf>
    <xf numFmtId="0" fontId="7" fillId="0" borderId="8" xfId="0" applyFont="1" applyBorder="1" applyAlignment="1" applyProtection="1">
      <alignment vertical="center" wrapText="1"/>
      <protection locked="0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0" borderId="1" xfId="2" applyFont="1" applyBorder="1"/>
    <xf numFmtId="0" fontId="21" fillId="0" borderId="0" xfId="3" applyFont="1"/>
    <xf numFmtId="0" fontId="21" fillId="0" borderId="9" xfId="3" applyFont="1" applyBorder="1"/>
    <xf numFmtId="0" fontId="21" fillId="0" borderId="10" xfId="3" applyFont="1" applyBorder="1"/>
    <xf numFmtId="0" fontId="22" fillId="0" borderId="10" xfId="3" applyFont="1" applyBorder="1" applyAlignment="1">
      <alignment vertical="center"/>
    </xf>
    <xf numFmtId="0" fontId="21" fillId="0" borderId="11" xfId="3" applyFont="1" applyBorder="1"/>
    <xf numFmtId="0" fontId="21" fillId="0" borderId="13" xfId="3" applyFont="1" applyBorder="1"/>
    <xf numFmtId="0" fontId="23" fillId="0" borderId="0" xfId="3" applyFont="1"/>
    <xf numFmtId="0" fontId="22" fillId="0" borderId="0" xfId="3" applyFont="1" applyAlignment="1">
      <alignment vertical="center"/>
    </xf>
    <xf numFmtId="0" fontId="21" fillId="0" borderId="14" xfId="3" applyFont="1" applyBorder="1"/>
    <xf numFmtId="0" fontId="24" fillId="0" borderId="0" xfId="3" applyFont="1" applyAlignment="1">
      <alignment vertical="center"/>
    </xf>
    <xf numFmtId="0" fontId="19" fillId="0" borderId="0" xfId="3" applyFont="1"/>
    <xf numFmtId="14" fontId="19" fillId="0" borderId="0" xfId="3" applyNumberFormat="1" applyFont="1" applyAlignment="1">
      <alignment vertical="top"/>
    </xf>
    <xf numFmtId="0" fontId="19" fillId="0" borderId="0" xfId="3" applyFont="1" applyAlignment="1">
      <alignment vertical="top"/>
    </xf>
    <xf numFmtId="0" fontId="19" fillId="0" borderId="0" xfId="3" applyFont="1" applyAlignment="1">
      <alignment vertical="top" wrapText="1"/>
    </xf>
    <xf numFmtId="14" fontId="25" fillId="0" borderId="0" xfId="3" applyNumberFormat="1" applyFont="1" applyAlignment="1">
      <alignment vertical="top"/>
    </xf>
    <xf numFmtId="14" fontId="26" fillId="0" borderId="0" xfId="3" applyNumberFormat="1" applyFont="1" applyAlignment="1">
      <alignment vertical="top"/>
    </xf>
    <xf numFmtId="14" fontId="18" fillId="0" borderId="0" xfId="3" applyNumberFormat="1" applyFont="1" applyAlignment="1">
      <alignment vertical="top"/>
    </xf>
    <xf numFmtId="0" fontId="21" fillId="0" borderId="12" xfId="3" applyFont="1" applyBorder="1"/>
    <xf numFmtId="14" fontId="19" fillId="0" borderId="4" xfId="3" applyNumberFormat="1" applyFont="1" applyBorder="1" applyAlignment="1">
      <alignment vertical="top"/>
    </xf>
    <xf numFmtId="0" fontId="19" fillId="0" borderId="4" xfId="3" applyFont="1" applyBorder="1" applyAlignment="1">
      <alignment vertical="top"/>
    </xf>
    <xf numFmtId="0" fontId="19" fillId="0" borderId="4" xfId="3" applyFont="1" applyBorder="1" applyAlignment="1">
      <alignment vertical="top" wrapText="1"/>
    </xf>
    <xf numFmtId="0" fontId="21" fillId="0" borderId="8" xfId="3" applyFont="1" applyBorder="1"/>
    <xf numFmtId="6" fontId="12" fillId="0" borderId="0" xfId="4" applyFont="1" applyFill="1" applyAlignment="1" applyProtection="1"/>
    <xf numFmtId="49" fontId="2" fillId="0" borderId="1" xfId="0" applyNumberFormat="1" applyFont="1" applyBorder="1" applyAlignment="1">
      <alignment vertical="center" wrapText="1"/>
    </xf>
    <xf numFmtId="14" fontId="2" fillId="0" borderId="1" xfId="0" applyNumberFormat="1" applyFont="1" applyBorder="1">
      <alignment vertical="center"/>
    </xf>
    <xf numFmtId="0" fontId="2" fillId="11" borderId="1" xfId="0" applyFont="1" applyFill="1" applyBorder="1" applyProtection="1">
      <alignment vertical="center"/>
      <protection locked="0"/>
    </xf>
    <xf numFmtId="2" fontId="2" fillId="0" borderId="1" xfId="0" applyNumberFormat="1" applyFont="1" applyBorder="1">
      <alignment vertical="center"/>
    </xf>
    <xf numFmtId="49" fontId="2" fillId="0" borderId="1" xfId="0" applyNumberFormat="1" applyFont="1" applyBorder="1" applyAlignment="1">
      <alignment vertical="top" wrapText="1"/>
    </xf>
    <xf numFmtId="14" fontId="27" fillId="0" borderId="0" xfId="3" applyNumberFormat="1" applyFont="1" applyAlignment="1">
      <alignment vertical="top"/>
    </xf>
    <xf numFmtId="0" fontId="19" fillId="11" borderId="9" xfId="3" applyFont="1" applyFill="1" applyBorder="1" applyAlignment="1">
      <alignment vertical="top"/>
    </xf>
    <xf numFmtId="0" fontId="19" fillId="11" borderId="10" xfId="3" applyFont="1" applyFill="1" applyBorder="1" applyAlignment="1">
      <alignment vertical="top" wrapText="1"/>
    </xf>
    <xf numFmtId="0" fontId="19" fillId="11" borderId="11" xfId="3" applyFont="1" applyFill="1" applyBorder="1" applyAlignment="1">
      <alignment vertical="top" wrapText="1"/>
    </xf>
    <xf numFmtId="0" fontId="19" fillId="11" borderId="13" xfId="3" applyFont="1" applyFill="1" applyBorder="1" applyAlignment="1">
      <alignment vertical="center"/>
    </xf>
    <xf numFmtId="0" fontId="19" fillId="11" borderId="0" xfId="3" applyFont="1" applyFill="1" applyAlignment="1">
      <alignment vertical="center"/>
    </xf>
    <xf numFmtId="0" fontId="21" fillId="11" borderId="0" xfId="3" applyFont="1" applyFill="1" applyAlignment="1">
      <alignment vertical="center"/>
    </xf>
    <xf numFmtId="0" fontId="19" fillId="11" borderId="14" xfId="3" applyFont="1" applyFill="1" applyBorder="1" applyAlignment="1">
      <alignment vertical="center"/>
    </xf>
    <xf numFmtId="0" fontId="19" fillId="11" borderId="13" xfId="3" applyFont="1" applyFill="1" applyBorder="1" applyAlignment="1">
      <alignment vertical="top"/>
    </xf>
    <xf numFmtId="0" fontId="19" fillId="11" borderId="0" xfId="3" applyFont="1" applyFill="1" applyAlignment="1">
      <alignment vertical="top"/>
    </xf>
    <xf numFmtId="0" fontId="19" fillId="11" borderId="0" xfId="3" applyFont="1" applyFill="1" applyAlignment="1">
      <alignment vertical="top" wrapText="1"/>
    </xf>
    <xf numFmtId="0" fontId="21" fillId="11" borderId="0" xfId="3" applyFont="1" applyFill="1"/>
    <xf numFmtId="0" fontId="19" fillId="11" borderId="14" xfId="3" applyFont="1" applyFill="1" applyBorder="1" applyAlignment="1">
      <alignment vertical="top" wrapText="1"/>
    </xf>
    <xf numFmtId="0" fontId="19" fillId="11" borderId="12" xfId="3" applyFont="1" applyFill="1" applyBorder="1" applyAlignment="1">
      <alignment vertical="top" wrapText="1"/>
    </xf>
    <xf numFmtId="0" fontId="19" fillId="11" borderId="4" xfId="3" applyFont="1" applyFill="1" applyBorder="1" applyAlignment="1">
      <alignment vertical="top"/>
    </xf>
    <xf numFmtId="0" fontId="19" fillId="11" borderId="4" xfId="3" applyFont="1" applyFill="1" applyBorder="1" applyAlignment="1">
      <alignment vertical="top" wrapText="1"/>
    </xf>
    <xf numFmtId="0" fontId="19" fillId="11" borderId="8" xfId="3" applyFont="1" applyFill="1" applyBorder="1" applyAlignment="1">
      <alignment vertical="top" wrapText="1"/>
    </xf>
    <xf numFmtId="0" fontId="19" fillId="12" borderId="2" xfId="3" applyFont="1" applyFill="1" applyBorder="1" applyAlignment="1">
      <alignment vertical="center"/>
    </xf>
    <xf numFmtId="0" fontId="19" fillId="12" borderId="15" xfId="3" applyFont="1" applyFill="1" applyBorder="1" applyAlignment="1">
      <alignment vertical="center"/>
    </xf>
    <xf numFmtId="0" fontId="21" fillId="12" borderId="15" xfId="3" applyFont="1" applyFill="1" applyBorder="1"/>
    <xf numFmtId="0" fontId="19" fillId="12" borderId="6" xfId="3" applyFont="1" applyFill="1" applyBorder="1" applyAlignment="1">
      <alignment vertical="center"/>
    </xf>
    <xf numFmtId="0" fontId="21" fillId="12" borderId="2" xfId="3" applyFont="1" applyFill="1" applyBorder="1"/>
    <xf numFmtId="0" fontId="19" fillId="12" borderId="15" xfId="3" applyFont="1" applyFill="1" applyBorder="1" applyAlignment="1">
      <alignment vertical="top" wrapText="1"/>
    </xf>
    <xf numFmtId="0" fontId="19" fillId="12" borderId="6" xfId="3" applyFont="1" applyFill="1" applyBorder="1" applyAlignment="1">
      <alignment vertical="top" wrapText="1"/>
    </xf>
    <xf numFmtId="0" fontId="19" fillId="12" borderId="15" xfId="3" applyFont="1" applyFill="1" applyBorder="1" applyAlignment="1">
      <alignment vertical="top"/>
    </xf>
    <xf numFmtId="0" fontId="19" fillId="12" borderId="6" xfId="3" applyFont="1" applyFill="1" applyBorder="1" applyAlignment="1">
      <alignment vertical="top"/>
    </xf>
    <xf numFmtId="0" fontId="21" fillId="12" borderId="6" xfId="3" applyFont="1" applyFill="1" applyBorder="1"/>
    <xf numFmtId="0" fontId="28" fillId="0" borderId="0" xfId="0" applyFont="1">
      <alignment vertical="center"/>
    </xf>
    <xf numFmtId="0" fontId="29" fillId="0" borderId="0" xfId="3" applyFont="1"/>
    <xf numFmtId="0" fontId="21" fillId="0" borderId="0" xfId="0" applyFont="1">
      <alignment vertical="center"/>
    </xf>
    <xf numFmtId="0" fontId="21" fillId="13" borderId="2" xfId="0" applyFont="1" applyFill="1" applyBorder="1">
      <alignment vertical="center"/>
    </xf>
    <xf numFmtId="0" fontId="21" fillId="13" borderId="15" xfId="0" applyFont="1" applyFill="1" applyBorder="1">
      <alignment vertical="center"/>
    </xf>
    <xf numFmtId="0" fontId="21" fillId="13" borderId="6" xfId="0" applyFont="1" applyFill="1" applyBorder="1">
      <alignment vertical="center"/>
    </xf>
    <xf numFmtId="0" fontId="21" fillId="11" borderId="2" xfId="0" applyFont="1" applyFill="1" applyBorder="1">
      <alignment vertical="center"/>
    </xf>
    <xf numFmtId="0" fontId="21" fillId="11" borderId="15" xfId="0" applyFont="1" applyFill="1" applyBorder="1">
      <alignment vertical="center"/>
    </xf>
    <xf numFmtId="0" fontId="21" fillId="11" borderId="6" xfId="0" applyFont="1" applyFill="1" applyBorder="1">
      <alignment vertical="center"/>
    </xf>
    <xf numFmtId="0" fontId="7" fillId="0" borderId="1" xfId="0" applyFont="1" applyBorder="1" applyProtection="1">
      <alignment vertical="center"/>
      <protection locked="0"/>
    </xf>
    <xf numFmtId="0" fontId="7" fillId="0" borderId="1" xfId="0" applyFont="1" applyBorder="1" applyAlignment="1" applyProtection="1">
      <alignment vertical="center" wrapText="1"/>
      <protection locked="0"/>
    </xf>
    <xf numFmtId="0" fontId="18" fillId="0" borderId="0" xfId="0" applyFont="1">
      <alignment vertical="center"/>
    </xf>
    <xf numFmtId="14" fontId="19" fillId="11" borderId="2" xfId="3" applyNumberFormat="1" applyFont="1" applyFill="1" applyBorder="1" applyAlignment="1">
      <alignment vertical="top"/>
    </xf>
    <xf numFmtId="14" fontId="19" fillId="11" borderId="15" xfId="3" applyNumberFormat="1" applyFont="1" applyFill="1" applyBorder="1" applyAlignment="1">
      <alignment vertical="top"/>
    </xf>
    <xf numFmtId="0" fontId="19" fillId="11" borderId="15" xfId="3" applyFont="1" applyFill="1" applyBorder="1" applyAlignment="1">
      <alignment vertical="top"/>
    </xf>
    <xf numFmtId="0" fontId="19" fillId="11" borderId="6" xfId="3" applyFont="1" applyFill="1" applyBorder="1" applyAlignment="1">
      <alignment vertical="top"/>
    </xf>
    <xf numFmtId="0" fontId="19" fillId="11" borderId="2" xfId="3" applyFont="1" applyFill="1" applyBorder="1" applyAlignment="1">
      <alignment vertical="top"/>
    </xf>
    <xf numFmtId="0" fontId="19" fillId="11" borderId="16" xfId="3" applyFont="1" applyFill="1" applyBorder="1" applyAlignment="1">
      <alignment vertical="top"/>
    </xf>
    <xf numFmtId="0" fontId="19" fillId="11" borderId="12" xfId="3" applyFont="1" applyFill="1" applyBorder="1" applyAlignment="1">
      <alignment vertical="top"/>
    </xf>
    <xf numFmtId="0" fontId="21" fillId="11" borderId="4" xfId="3" applyFont="1" applyFill="1" applyBorder="1"/>
    <xf numFmtId="0" fontId="19" fillId="11" borderId="8" xfId="3" applyFont="1" applyFill="1" applyBorder="1" applyAlignment="1">
      <alignment vertical="top"/>
    </xf>
    <xf numFmtId="0" fontId="21" fillId="11" borderId="12" xfId="3" applyFont="1" applyFill="1" applyBorder="1"/>
    <xf numFmtId="0" fontId="21" fillId="11" borderId="2" xfId="3" applyFont="1" applyFill="1" applyBorder="1"/>
    <xf numFmtId="0" fontId="21" fillId="11" borderId="15" xfId="3" applyFont="1" applyFill="1" applyBorder="1"/>
    <xf numFmtId="0" fontId="21" fillId="11" borderId="6" xfId="3" applyFont="1" applyFill="1" applyBorder="1"/>
    <xf numFmtId="0" fontId="21" fillId="11" borderId="2" xfId="3" quotePrefix="1" applyFont="1" applyFill="1" applyBorder="1"/>
    <xf numFmtId="0" fontId="21" fillId="11" borderId="12" xfId="3" quotePrefix="1" applyFont="1" applyFill="1" applyBorder="1"/>
    <xf numFmtId="0" fontId="21" fillId="11" borderId="8" xfId="3" applyFont="1" applyFill="1" applyBorder="1"/>
    <xf numFmtId="0" fontId="12" fillId="0" borderId="0" xfId="0" applyFont="1" applyProtection="1">
      <alignment vertical="center"/>
      <protection locked="0"/>
    </xf>
    <xf numFmtId="0" fontId="2" fillId="10" borderId="0" xfId="0" applyFont="1" applyFill="1" applyProtection="1">
      <alignment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49" fontId="7" fillId="0" borderId="1" xfId="0" applyNumberFormat="1" applyFont="1" applyBorder="1" applyProtection="1">
      <alignment vertical="center"/>
      <protection locked="0"/>
    </xf>
    <xf numFmtId="0" fontId="7" fillId="10" borderId="1" xfId="0" applyFont="1" applyFill="1" applyBorder="1" applyProtection="1">
      <alignment vertical="center"/>
      <protection locked="0"/>
    </xf>
    <xf numFmtId="0" fontId="7" fillId="10" borderId="1" xfId="0" applyFont="1" applyFill="1" applyBorder="1" applyAlignment="1" applyProtection="1">
      <alignment horizontal="center" vertical="center"/>
      <protection locked="0"/>
    </xf>
    <xf numFmtId="49" fontId="7" fillId="10" borderId="1" xfId="0" applyNumberFormat="1" applyFont="1" applyFill="1" applyBorder="1" applyProtection="1">
      <alignment vertical="center"/>
      <protection locked="0"/>
    </xf>
    <xf numFmtId="0" fontId="7" fillId="10" borderId="1" xfId="0" applyFont="1" applyFill="1" applyBorder="1" applyAlignment="1" applyProtection="1">
      <alignment vertical="center" wrapText="1"/>
      <protection locked="0"/>
    </xf>
    <xf numFmtId="0" fontId="7" fillId="11" borderId="1" xfId="0" applyFont="1" applyFill="1" applyBorder="1" applyAlignment="1" applyProtection="1">
      <alignment horizontal="center" vertical="center"/>
      <protection locked="0"/>
    </xf>
    <xf numFmtId="0" fontId="19" fillId="0" borderId="1" xfId="3" applyFont="1" applyBorder="1" applyAlignment="1">
      <alignment horizontal="center" vertical="center"/>
    </xf>
    <xf numFmtId="0" fontId="19" fillId="0" borderId="1" xfId="3" applyFont="1" applyBorder="1" applyAlignment="1">
      <alignment horizontal="center" vertical="center" wrapText="1"/>
    </xf>
    <xf numFmtId="14" fontId="19" fillId="0" borderId="1" xfId="3" applyNumberFormat="1" applyFont="1" applyBorder="1" applyAlignment="1">
      <alignment horizontal="center"/>
    </xf>
    <xf numFmtId="14" fontId="19" fillId="0" borderId="1" xfId="3" applyNumberFormat="1" applyFont="1" applyBorder="1" applyAlignment="1">
      <alignment horizontal="center" vertical="center"/>
    </xf>
    <xf numFmtId="0" fontId="18" fillId="0" borderId="1" xfId="3" quotePrefix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/>
    </xf>
    <xf numFmtId="0" fontId="19" fillId="10" borderId="1" xfId="3" applyFont="1" applyFill="1" applyBorder="1" applyAlignment="1">
      <alignment horizontal="center" vertical="center" wrapText="1"/>
    </xf>
    <xf numFmtId="0" fontId="19" fillId="10" borderId="1" xfId="3" applyFont="1" applyFill="1" applyBorder="1" applyAlignment="1">
      <alignment horizontal="center" vertical="center"/>
    </xf>
    <xf numFmtId="0" fontId="6" fillId="0" borderId="4" xfId="0" applyFont="1" applyBorder="1">
      <alignment vertical="center"/>
    </xf>
    <xf numFmtId="0" fontId="4" fillId="9" borderId="9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49" fontId="7" fillId="0" borderId="12" xfId="0" applyNumberFormat="1" applyFont="1" applyBorder="1" applyAlignment="1" applyProtection="1">
      <alignment horizontal="left" vertical="center" wrapText="1"/>
      <protection locked="0"/>
    </xf>
    <xf numFmtId="49" fontId="7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8" xfId="0" applyNumberFormat="1" applyFont="1" applyBorder="1" applyAlignment="1" applyProtection="1">
      <alignment horizontal="left" vertical="center" wrapText="1"/>
      <protection locked="0"/>
    </xf>
  </cellXfs>
  <cellStyles count="5">
    <cellStyle name="通貨" xfId="4" builtinId="7"/>
    <cellStyle name="標準" xfId="0" builtinId="0"/>
    <cellStyle name="標準 2" xfId="1" xr:uid="{00000000-0005-0000-0000-000002000000}"/>
    <cellStyle name="標準 2 2" xfId="2" xr:uid="{00000000-0005-0000-0000-000003000000}"/>
    <cellStyle name="標準 3" xfId="3" xr:uid="{00000000-0005-0000-0000-000004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MySqlDefault" pivot="0" table="0" count="0" xr9:uid="{00000000-0011-0000-FFFF-FFFF00000000}"/>
  </tableStyles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63</xdr:col>
      <xdr:colOff>175556</xdr:colOff>
      <xdr:row>15</xdr:row>
      <xdr:rowOff>204373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pSpPr/>
      </xdr:nvGrpSpPr>
      <xdr:grpSpPr>
        <a:xfrm>
          <a:off x="898071" y="925286"/>
          <a:ext cx="13020699" cy="2599230"/>
          <a:chOff x="823898" y="882063"/>
          <a:chExt cx="11950270" cy="2699016"/>
        </a:xfrm>
      </xdr:grpSpPr>
      <xdr:grpSp>
        <xdr:nvGrpSpPr>
          <xdr:cNvPr id="21" name="グループ化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GrpSpPr/>
        </xdr:nvGrpSpPr>
        <xdr:grpSpPr>
          <a:xfrm>
            <a:off x="823898" y="882063"/>
            <a:ext cx="11950270" cy="2699016"/>
            <a:chOff x="823898" y="882063"/>
            <a:chExt cx="11950270" cy="2699016"/>
          </a:xfrm>
        </xdr:grpSpPr>
        <xdr:grpSp>
          <xdr:nvGrpSpPr>
            <xdr:cNvPr id="23" name="グループ化 22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GrpSpPr/>
          </xdr:nvGrpSpPr>
          <xdr:grpSpPr>
            <a:xfrm>
              <a:off x="823898" y="882063"/>
              <a:ext cx="11950270" cy="2699016"/>
              <a:chOff x="559432" y="33618"/>
              <a:chExt cx="10739541" cy="2667002"/>
            </a:xfrm>
          </xdr:grpSpPr>
          <xdr:grpSp>
            <xdr:nvGrpSpPr>
              <xdr:cNvPr id="31" name="グループ化 30">
                <a:extLst>
                  <a:ext uri="{FF2B5EF4-FFF2-40B4-BE49-F238E27FC236}">
                    <a16:creationId xmlns:a16="http://schemas.microsoft.com/office/drawing/2014/main" id="{00000000-0008-0000-0100-00001F000000}"/>
                  </a:ext>
                </a:extLst>
              </xdr:cNvPr>
              <xdr:cNvGrpSpPr/>
            </xdr:nvGrpSpPr>
            <xdr:grpSpPr>
              <a:xfrm>
                <a:off x="559432" y="33618"/>
                <a:ext cx="10739541" cy="2667002"/>
                <a:chOff x="-583565" y="-1370230"/>
                <a:chExt cx="10739542" cy="2283053"/>
              </a:xfrm>
            </xdr:grpSpPr>
            <xdr:sp macro="" textlink="">
              <xdr:nvSpPr>
                <xdr:cNvPr id="34" name="正方形/長方形 33">
                  <a:extLst>
                    <a:ext uri="{FF2B5EF4-FFF2-40B4-BE49-F238E27FC236}">
                      <a16:creationId xmlns:a16="http://schemas.microsoft.com/office/drawing/2014/main" id="{00000000-0008-0000-0100-000022000000}"/>
                    </a:ext>
                  </a:extLst>
                </xdr:cNvPr>
                <xdr:cNvSpPr/>
              </xdr:nvSpPr>
              <xdr:spPr>
                <a:xfrm>
                  <a:off x="7825152" y="-439742"/>
                  <a:ext cx="2330825" cy="1352565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kumimoji="1" lang="ja-JP" altLang="en-US" sz="1400">
                      <a:solidFill>
                        <a:sysClr val="windowText" lastClr="000000"/>
                      </a:solidFill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現行</a:t>
                  </a:r>
                  <a:r>
                    <a:rPr kumimoji="1" lang="en-US" altLang="ja-JP" sz="1400">
                      <a:solidFill>
                        <a:sysClr val="windowText" lastClr="000000"/>
                      </a:solidFill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:MDPro</a:t>
                  </a:r>
                </a:p>
              </xdr:txBody>
            </xdr:sp>
            <xdr:sp macro="" textlink="">
              <xdr:nvSpPr>
                <xdr:cNvPr id="35" name="フローチャート: 書類 34">
                  <a:extLst>
                    <a:ext uri="{FF2B5EF4-FFF2-40B4-BE49-F238E27FC236}">
                      <a16:creationId xmlns:a16="http://schemas.microsoft.com/office/drawing/2014/main" id="{00000000-0008-0000-1B00-000006000000}"/>
                    </a:ext>
                  </a:extLst>
                </xdr:cNvPr>
                <xdr:cNvSpPr/>
              </xdr:nvSpPr>
              <xdr:spPr>
                <a:xfrm>
                  <a:off x="5524499" y="50143"/>
                  <a:ext cx="1434356" cy="689254"/>
                </a:xfrm>
                <a:prstGeom prst="flowChartDocument">
                  <a:avLst/>
                </a:prstGeom>
                <a:ln/>
              </xdr:spPr>
              <xdr:style>
                <a:lnRef idx="1">
                  <a:schemeClr val="accent3"/>
                </a:lnRef>
                <a:fillRef idx="2">
                  <a:schemeClr val="accent3"/>
                </a:fillRef>
                <a:effectRef idx="1">
                  <a:schemeClr val="accent3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kumimoji="1" lang="ja-JP" altLang="en-US" sz="1000">
                      <a:solidFill>
                        <a:sysClr val="windowText" lastClr="000000"/>
                      </a:solidFill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商品マスタ</a:t>
                  </a:r>
                  <a:r>
                    <a:rPr kumimoji="1" lang="en-US" altLang="ja-JP" sz="1000">
                      <a:solidFill>
                        <a:sysClr val="windowText" lastClr="000000"/>
                      </a:solidFill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_CzPOS</a:t>
                  </a:r>
                  <a:r>
                    <a:rPr kumimoji="1" lang="ja-JP" altLang="en-US" sz="1000">
                      <a:solidFill>
                        <a:sysClr val="windowText" lastClr="000000"/>
                      </a:solidFill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属性</a:t>
                  </a:r>
                  <a:endParaRPr kumimoji="1" lang="ja-JP" altLang="en-US" sz="1000">
                    <a:solidFill>
                      <a:srgbClr val="FF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endParaRPr>
                </a:p>
              </xdr:txBody>
            </xdr:sp>
            <xdr:sp macro="" textlink="">
              <xdr:nvSpPr>
                <xdr:cNvPr id="36" name="正方形/長方形 35">
                  <a:extLst>
                    <a:ext uri="{FF2B5EF4-FFF2-40B4-BE49-F238E27FC236}">
                      <a16:creationId xmlns:a16="http://schemas.microsoft.com/office/drawing/2014/main" id="{00000000-0008-0000-0100-000024000000}"/>
                    </a:ext>
                  </a:extLst>
                </xdr:cNvPr>
                <xdr:cNvSpPr/>
              </xdr:nvSpPr>
              <xdr:spPr>
                <a:xfrm>
                  <a:off x="5085755" y="-437795"/>
                  <a:ext cx="2151532" cy="1334633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kumimoji="1" lang="ja-JP" altLang="en-US" sz="1400">
                      <a:solidFill>
                        <a:sysClr val="windowText" lastClr="000000"/>
                      </a:solidFill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連携基盤</a:t>
                  </a:r>
                </a:p>
              </xdr:txBody>
            </xdr:sp>
            <xdr:sp macro="" textlink="">
              <xdr:nvSpPr>
                <xdr:cNvPr id="37" name="正方形/長方形 36">
                  <a:extLst>
                    <a:ext uri="{FF2B5EF4-FFF2-40B4-BE49-F238E27FC236}">
                      <a16:creationId xmlns:a16="http://schemas.microsoft.com/office/drawing/2014/main" id="{00000000-0008-0000-0100-000025000000}"/>
                    </a:ext>
                  </a:extLst>
                </xdr:cNvPr>
                <xdr:cNvSpPr/>
              </xdr:nvSpPr>
              <xdr:spPr>
                <a:xfrm>
                  <a:off x="-583565" y="-1370230"/>
                  <a:ext cx="4840943" cy="2244683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kumimoji="1" lang="en-US" altLang="ja-JP" sz="1400">
                      <a:solidFill>
                        <a:sysClr val="windowText" lastClr="000000"/>
                      </a:solidFill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eBASE</a:t>
                  </a:r>
                  <a:endParaRPr kumimoji="1" lang="ja-JP" altLang="en-US" sz="1400">
                    <a:solidFill>
                      <a:sysClr val="windowText" lastClr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endParaRPr>
                </a:p>
              </xdr:txBody>
            </xdr:sp>
            <xdr:sp macro="" textlink="">
              <xdr:nvSpPr>
                <xdr:cNvPr id="38" name="テキスト ボックス 37">
                  <a:extLst>
                    <a:ext uri="{FF2B5EF4-FFF2-40B4-BE49-F238E27FC236}">
                      <a16:creationId xmlns:a16="http://schemas.microsoft.com/office/drawing/2014/main" id="{00000000-0008-0000-0100-000026000000}"/>
                    </a:ext>
                  </a:extLst>
                </xdr:cNvPr>
                <xdr:cNvSpPr txBox="1"/>
              </xdr:nvSpPr>
              <xdr:spPr>
                <a:xfrm>
                  <a:off x="2343750" y="66069"/>
                  <a:ext cx="896469" cy="679725"/>
                </a:xfrm>
                <a:prstGeom prst="rect">
                  <a:avLst/>
                </a:prstGeom>
                <a:ln/>
              </xdr:spPr>
              <xdr:style>
                <a:lnRef idx="1">
                  <a:schemeClr val="accent1"/>
                </a:lnRef>
                <a:fillRef idx="2">
                  <a:schemeClr val="accent1"/>
                </a:fillRef>
                <a:effectRef idx="1">
                  <a:schemeClr val="accent1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kumimoji="1" lang="en-US" altLang="ja-JP" sz="1100"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eB-Cast</a:t>
                  </a:r>
                </a:p>
                <a:p>
                  <a:r>
                    <a:rPr kumimoji="1" lang="ja-JP" altLang="en-US" sz="1100"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配信処理</a:t>
                  </a:r>
                </a:p>
              </xdr:txBody>
            </xdr:sp>
            <xdr:sp macro="" textlink="">
              <xdr:nvSpPr>
                <xdr:cNvPr id="39" name="フローチャート: 磁気ディスク 38">
                  <a:extLst>
                    <a:ext uri="{FF2B5EF4-FFF2-40B4-BE49-F238E27FC236}">
                      <a16:creationId xmlns:a16="http://schemas.microsoft.com/office/drawing/2014/main" id="{00000000-0008-0000-0100-000027000000}"/>
                    </a:ext>
                  </a:extLst>
                </xdr:cNvPr>
                <xdr:cNvSpPr/>
              </xdr:nvSpPr>
              <xdr:spPr>
                <a:xfrm>
                  <a:off x="-410925" y="-6176"/>
                  <a:ext cx="1793520" cy="767337"/>
                </a:xfrm>
                <a:prstGeom prst="flowChartMagneticDisk">
                  <a:avLst/>
                </a:prstGeom>
              </xdr:spPr>
              <xdr:style>
                <a:lnRef idx="2">
                  <a:schemeClr val="accent5">
                    <a:shade val="50000"/>
                  </a:schemeClr>
                </a:lnRef>
                <a:fillRef idx="1">
                  <a:schemeClr val="accent5"/>
                </a:fillRef>
                <a:effectRef idx="0">
                  <a:schemeClr val="accent5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r>
                    <a:rPr kumimoji="1" lang="ja-JP" altLang="en-US" sz="1100"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統合マスタ公開</a:t>
                  </a:r>
                  <a:r>
                    <a:rPr kumimoji="1" lang="en-US" altLang="ja-JP" sz="1100"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vol</a:t>
                  </a:r>
                  <a:r>
                    <a:rPr kumimoji="1" lang="ja-JP" altLang="en-US" sz="1100"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：</a:t>
                  </a:r>
                  <a:r>
                    <a:rPr kumimoji="1" lang="en-US" altLang="ja-JP" sz="1100"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00007</a:t>
                  </a:r>
                  <a:endPara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endParaRPr>
                </a:p>
              </xdr:txBody>
            </xdr:sp>
            <xdr:cxnSp macro="">
              <xdr:nvCxnSpPr>
                <xdr:cNvPr id="40" name="直線矢印コネクタ 39">
                  <a:extLst>
                    <a:ext uri="{FF2B5EF4-FFF2-40B4-BE49-F238E27FC236}">
                      <a16:creationId xmlns:a16="http://schemas.microsoft.com/office/drawing/2014/main" id="{00000000-0008-0000-0100-000028000000}"/>
                    </a:ext>
                  </a:extLst>
                </xdr:cNvPr>
                <xdr:cNvCxnSpPr>
                  <a:stCxn id="32" idx="3"/>
                  <a:endCxn id="35" idx="1"/>
                </xdr:cNvCxnSpPr>
              </xdr:nvCxnSpPr>
              <xdr:spPr>
                <a:xfrm flipV="1">
                  <a:off x="4042147" y="394768"/>
                  <a:ext cx="1482353" cy="13766"/>
                </a:xfrm>
                <a:prstGeom prst="straightConnector1">
                  <a:avLst/>
                </a:prstGeom>
                <a:ln>
                  <a:prstDash val="dash"/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1" name="直線矢印コネクタ 40">
                  <a:extLst>
                    <a:ext uri="{FF2B5EF4-FFF2-40B4-BE49-F238E27FC236}">
                      <a16:creationId xmlns:a16="http://schemas.microsoft.com/office/drawing/2014/main" id="{00000000-0008-0000-0100-000029000000}"/>
                    </a:ext>
                  </a:extLst>
                </xdr:cNvPr>
                <xdr:cNvCxnSpPr>
                  <a:stCxn id="35" idx="3"/>
                </xdr:cNvCxnSpPr>
              </xdr:nvCxnSpPr>
              <xdr:spPr>
                <a:xfrm flipV="1">
                  <a:off x="6958857" y="388358"/>
                  <a:ext cx="1302464" cy="6394"/>
                </a:xfrm>
                <a:prstGeom prst="straightConnector1">
                  <a:avLst/>
                </a:prstGeom>
                <a:ln>
                  <a:solidFill>
                    <a:schemeClr val="tx1"/>
                  </a:solidFill>
                  <a:prstDash val="dash"/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32" name="フローチャート: 記憶データ 31">
                <a:extLst>
                  <a:ext uri="{FF2B5EF4-FFF2-40B4-BE49-F238E27FC236}">
                    <a16:creationId xmlns:a16="http://schemas.microsoft.com/office/drawing/2014/main" id="{00000000-0008-0000-0100-000020000000}"/>
                  </a:ext>
                </a:extLst>
              </xdr:cNvPr>
              <xdr:cNvSpPr/>
            </xdr:nvSpPr>
            <xdr:spPr>
              <a:xfrm>
                <a:off x="4826369" y="1961027"/>
                <a:ext cx="430530" cy="300990"/>
              </a:xfrm>
              <a:prstGeom prst="flowChartOnlineStorage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33" name="右カーブ矢印 32">
                <a:extLst>
                  <a:ext uri="{FF2B5EF4-FFF2-40B4-BE49-F238E27FC236}">
                    <a16:creationId xmlns:a16="http://schemas.microsoft.com/office/drawing/2014/main" id="{00000000-0008-0000-0100-000021000000}"/>
                  </a:ext>
                </a:extLst>
              </xdr:cNvPr>
              <xdr:cNvSpPr/>
            </xdr:nvSpPr>
            <xdr:spPr>
              <a:xfrm>
                <a:off x="2660312" y="1997524"/>
                <a:ext cx="678180" cy="249555"/>
              </a:xfrm>
              <a:prstGeom prst="curvedRightArrow">
                <a:avLst/>
              </a:prstGeom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24" name="ホームベース 23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/>
          </xdr:nvSpPr>
          <xdr:spPr>
            <a:xfrm>
              <a:off x="6253419" y="2528261"/>
              <a:ext cx="843110" cy="226785"/>
            </a:xfrm>
            <a:prstGeom prst="homePlate">
              <a:avLst/>
            </a:prstGeom>
          </xdr:spPr>
          <xdr:style>
            <a:lnRef idx="2">
              <a:schemeClr val="accent4">
                <a:shade val="50000"/>
              </a:schemeClr>
            </a:lnRef>
            <a:fillRef idx="1">
              <a:schemeClr val="accent4"/>
            </a:fillRef>
            <a:effectRef idx="0">
              <a:schemeClr val="accent4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kumimoji="1" lang="en-US" altLang="ja-JP" sz="1100"/>
                <a:t>FTP</a:t>
              </a:r>
              <a:r>
                <a:rPr kumimoji="1" lang="ja-JP" altLang="en-US" sz="1100"/>
                <a:t>処理</a:t>
              </a:r>
            </a:p>
          </xdr:txBody>
        </xdr:sp>
        <xdr:cxnSp macro="">
          <xdr:nvCxnSpPr>
            <xdr:cNvPr id="25" name="直線矢印コネクタ 24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CxnSpPr>
              <a:stCxn id="38" idx="3"/>
              <a:endCxn id="32" idx="1"/>
            </xdr:cNvCxnSpPr>
          </xdr:nvCxnSpPr>
          <xdr:spPr>
            <a:xfrm>
              <a:off x="5078723" y="2983607"/>
              <a:ext cx="490793" cy="3042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26" name="フローチャート: 磁気ディスク 25">
              <a:extLst>
                <a:ext uri="{FF2B5EF4-FFF2-40B4-BE49-F238E27FC236}">
                  <a16:creationId xmlns:a16="http://schemas.microsoft.com/office/drawing/2014/main" id="{00000000-0008-0000-0100-00001A000000}"/>
                </a:ext>
              </a:extLst>
            </xdr:cNvPr>
            <xdr:cNvSpPr/>
          </xdr:nvSpPr>
          <xdr:spPr>
            <a:xfrm>
              <a:off x="10700016" y="2531994"/>
              <a:ext cx="1995869" cy="802040"/>
            </a:xfrm>
            <a:prstGeom prst="flowChartMagneticDisk">
              <a:avLst/>
            </a:prstGeom>
          </xdr:spPr>
          <xdr:style>
            <a:lnRef idx="2">
              <a:schemeClr val="accent5">
                <a:shade val="50000"/>
              </a:schemeClr>
            </a:lnRef>
            <a:fillRef idx="1">
              <a:schemeClr val="accent5"/>
            </a:fillRef>
            <a:effectRef idx="0">
              <a:schemeClr val="accent5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商品マスタ</a:t>
              </a:r>
              <a:r>
                <a:rPr kumimoji="1" lang="en-US" altLang="ja-JP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_CzPOS</a:t>
              </a:r>
              <a:r>
                <a: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属性</a:t>
              </a:r>
              <a:endParaRPr kumimoji="1" lang="en-US" altLang="ja-JP" sz="1100">
                <a:latin typeface="メイリオ" panose="020B0604030504040204" pitchFamily="50" charset="-128"/>
                <a:ea typeface="メイリオ" panose="020B0604030504040204" pitchFamily="50" charset="-128"/>
              </a:endParaRPr>
            </a:p>
          </xdr:txBody>
        </xdr:sp>
        <xdr:sp macro="" textlink="">
          <xdr:nvSpPr>
            <xdr:cNvPr id="27" name="正方形/長方形 26">
              <a:extLst>
                <a:ext uri="{FF2B5EF4-FFF2-40B4-BE49-F238E27FC236}">
                  <a16:creationId xmlns:a16="http://schemas.microsoft.com/office/drawing/2014/main" id="{00000000-0008-0000-0100-00001B000000}"/>
                </a:ext>
              </a:extLst>
            </xdr:cNvPr>
            <xdr:cNvSpPr/>
          </xdr:nvSpPr>
          <xdr:spPr>
            <a:xfrm>
              <a:off x="2961555" y="2477034"/>
              <a:ext cx="1182487" cy="30415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kumimoji="1" lang="ja-JP" altLang="en-US" sz="1200" b="1">
                  <a:solidFill>
                    <a:schemeClr val="tx1"/>
                  </a:solidFill>
                </a:rPr>
                <a:t>商い</a:t>
              </a:r>
              <a:r>
                <a:rPr kumimoji="1" lang="en-US" altLang="ja-JP" sz="1200" b="1">
                  <a:solidFill>
                    <a:schemeClr val="tx1"/>
                  </a:solidFill>
                </a:rPr>
                <a:t>+</a:t>
              </a:r>
              <a:r>
                <a:rPr kumimoji="1" lang="ja-JP" altLang="en-US" sz="1200" b="1">
                  <a:solidFill>
                    <a:schemeClr val="tx1"/>
                  </a:solidFill>
                </a:rPr>
                <a:t>製品</a:t>
              </a:r>
            </a:p>
          </xdr:txBody>
        </xdr:sp>
        <xdr:grpSp>
          <xdr:nvGrpSpPr>
            <xdr:cNvPr id="28" name="グループ化 27">
              <a:extLst>
                <a:ext uri="{FF2B5EF4-FFF2-40B4-BE49-F238E27FC236}">
                  <a16:creationId xmlns:a16="http://schemas.microsoft.com/office/drawing/2014/main" id="{00000000-0008-0000-0100-00001C000000}"/>
                </a:ext>
              </a:extLst>
            </xdr:cNvPr>
            <xdr:cNvGrpSpPr/>
          </xdr:nvGrpSpPr>
          <xdr:grpSpPr>
            <a:xfrm>
              <a:off x="1016000" y="1360714"/>
              <a:ext cx="1995714" cy="913494"/>
              <a:chOff x="1016000" y="837294"/>
              <a:chExt cx="1995714" cy="913494"/>
            </a:xfrm>
          </xdr:grpSpPr>
          <xdr:sp macro="" textlink="">
            <xdr:nvSpPr>
              <xdr:cNvPr id="29" name="フローチャート: 磁気ディスク 28">
                <a:extLst>
                  <a:ext uri="{FF2B5EF4-FFF2-40B4-BE49-F238E27FC236}">
                    <a16:creationId xmlns:a16="http://schemas.microsoft.com/office/drawing/2014/main" id="{00000000-0008-0000-0100-00001D000000}"/>
                  </a:ext>
                </a:extLst>
              </xdr:cNvPr>
              <xdr:cNvSpPr/>
            </xdr:nvSpPr>
            <xdr:spPr>
              <a:xfrm>
                <a:off x="1016000" y="837294"/>
                <a:ext cx="1995714" cy="913494"/>
              </a:xfrm>
              <a:prstGeom prst="flowChartMagneticDisk">
                <a:avLst/>
              </a:prstGeom>
            </xdr:spPr>
            <xdr:style>
              <a:lnRef idx="2">
                <a:schemeClr val="accent5">
                  <a:shade val="50000"/>
                </a:schemeClr>
              </a:lnRef>
              <a:fillRef idx="1">
                <a:schemeClr val="accent5"/>
              </a:fillRef>
              <a:effectRef idx="0">
                <a:schemeClr val="accent5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30" name="テキスト ボックス 29">
                <a:extLst>
                  <a:ext uri="{FF2B5EF4-FFF2-40B4-BE49-F238E27FC236}">
                    <a16:creationId xmlns:a16="http://schemas.microsoft.com/office/drawing/2014/main" id="{00000000-0008-0000-0100-00001E000000}"/>
                  </a:ext>
                </a:extLst>
              </xdr:cNvPr>
              <xdr:cNvSpPr txBox="1"/>
            </xdr:nvSpPr>
            <xdr:spPr>
              <a:xfrm>
                <a:off x="1016000" y="1070431"/>
                <a:ext cx="1995714" cy="68035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marR="0" lvl="0" indent="0" algn="ctr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1" lang="ja-JP" altLang="ja-JP" sz="1100">
                    <a:solidFill>
                      <a:schemeClr val="bg1"/>
                    </a:solidFill>
                    <a:effectLst/>
                    <a:latin typeface="メイリオ" panose="020B0604030504040204" pitchFamily="50" charset="-128"/>
                    <a:ea typeface="メイリオ" panose="020B0604030504040204" pitchFamily="50" charset="-128"/>
                    <a:cs typeface="+mn-cs"/>
                  </a:rPr>
                  <a:t>統合マスタ申請</a:t>
                </a:r>
                <a:r>
                  <a:rPr kumimoji="1" lang="en-US" altLang="ja-JP" sz="1100">
                    <a:solidFill>
                      <a:schemeClr val="bg1"/>
                    </a:solidFill>
                    <a:effectLst/>
                    <a:latin typeface="メイリオ" panose="020B0604030504040204" pitchFamily="50" charset="-128"/>
                    <a:ea typeface="メイリオ" panose="020B0604030504040204" pitchFamily="50" charset="-128"/>
                    <a:cs typeface="+mn-cs"/>
                  </a:rPr>
                  <a:t>vol</a:t>
                </a:r>
                <a:r>
                  <a:rPr kumimoji="1" lang="ja-JP" altLang="ja-JP" sz="1100">
                    <a:solidFill>
                      <a:schemeClr val="bg1"/>
                    </a:solidFill>
                    <a:effectLst/>
                    <a:latin typeface="メイリオ" panose="020B0604030504040204" pitchFamily="50" charset="-128"/>
                    <a:ea typeface="メイリオ" panose="020B0604030504040204" pitchFamily="50" charset="-128"/>
                    <a:cs typeface="+mn-cs"/>
                  </a:rPr>
                  <a:t>：</a:t>
                </a:r>
                <a:endParaRPr kumimoji="1" lang="en-US" altLang="ja-JP" sz="1100">
                  <a:solidFill>
                    <a:schemeClr val="bg1"/>
                  </a:solidFill>
                  <a:effectLst/>
                  <a:latin typeface="メイリオ" panose="020B0604030504040204" pitchFamily="50" charset="-128"/>
                  <a:ea typeface="メイリオ" panose="020B0604030504040204" pitchFamily="50" charset="-128"/>
                  <a:cs typeface="+mn-cs"/>
                </a:endParaRPr>
              </a:p>
              <a:p>
                <a:pPr marL="0" marR="0" lvl="0" indent="0" algn="ctr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1" lang="en-US" altLang="ja-JP" sz="1100">
                    <a:solidFill>
                      <a:schemeClr val="bg1"/>
                    </a:solidFill>
                    <a:effectLst/>
                    <a:latin typeface="メイリオ" panose="020B0604030504040204" pitchFamily="50" charset="-128"/>
                    <a:ea typeface="メイリオ" panose="020B0604030504040204" pitchFamily="50" charset="-128"/>
                    <a:cs typeface="+mn-cs"/>
                  </a:rPr>
                  <a:t>00004~6</a:t>
                </a:r>
                <a:endParaRPr lang="ja-JP" altLang="ja-JP">
                  <a:solidFill>
                    <a:schemeClr val="bg1"/>
                  </a:solidFill>
                  <a:effectLst/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  <a:p>
                <a:pPr algn="ctr"/>
                <a:endParaRPr kumimoji="1" lang="ja-JP" altLang="en-US" sz="1100">
                  <a:solidFill>
                    <a:schemeClr val="bg1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</xdr:grpSp>
      </xdr:grpSp>
      <xdr:sp macro="" textlink="">
        <xdr:nvSpPr>
          <xdr:cNvPr id="22" name="右カーブ矢印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/>
        </xdr:nvSpPr>
        <xdr:spPr>
          <a:xfrm rot="2023296">
            <a:off x="3211285" y="2068285"/>
            <a:ext cx="754635" cy="252551"/>
          </a:xfrm>
          <a:prstGeom prst="curvedRightArrow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</xdr:row>
          <xdr:rowOff>28575</xdr:rowOff>
        </xdr:from>
        <xdr:to>
          <xdr:col>16</xdr:col>
          <xdr:colOff>1076325</xdr:colOff>
          <xdr:row>2</xdr:row>
          <xdr:rowOff>314325</xdr:rowOff>
        </xdr:to>
        <xdr:sp macro="" textlink="">
          <xdr:nvSpPr>
            <xdr:cNvPr id="11265" name="Button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2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8000"/>
                  </a:solidFill>
                  <a:latin typeface="Meiryo UI"/>
                  <a:ea typeface="Meiryo UI"/>
                </a:rPr>
                <a:t>連携対象項目の妥当性チェック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2</xdr:row>
          <xdr:rowOff>28575</xdr:rowOff>
        </xdr:from>
        <xdr:to>
          <xdr:col>2</xdr:col>
          <xdr:colOff>1819275</xdr:colOff>
          <xdr:row>2</xdr:row>
          <xdr:rowOff>314325</xdr:rowOff>
        </xdr:to>
        <xdr:sp macro="" textlink="">
          <xdr:nvSpPr>
            <xdr:cNvPr id="11267" name="Button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2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8000"/>
                  </a:solidFill>
                  <a:latin typeface="Meiryo UI"/>
                  <a:ea typeface="Meiryo UI"/>
                </a:rPr>
                <a:t>【変換先】eB-def.読込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457200</xdr:colOff>
          <xdr:row>2</xdr:row>
          <xdr:rowOff>28575</xdr:rowOff>
        </xdr:from>
        <xdr:to>
          <xdr:col>12</xdr:col>
          <xdr:colOff>390525</xdr:colOff>
          <xdr:row>2</xdr:row>
          <xdr:rowOff>314325</xdr:rowOff>
        </xdr:to>
        <xdr:sp macro="" textlink="">
          <xdr:nvSpPr>
            <xdr:cNvPr id="11269" name="Button 5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00000000-0008-0000-0200-00000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8000"/>
                  </a:solidFill>
                  <a:latin typeface="Meiryo UI"/>
                  <a:ea typeface="Meiryo UI"/>
                </a:rPr>
                <a:t>読込済項目の検索画面を表示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28575</xdr:rowOff>
        </xdr:from>
        <xdr:to>
          <xdr:col>7</xdr:col>
          <xdr:colOff>638175</xdr:colOff>
          <xdr:row>2</xdr:row>
          <xdr:rowOff>314325</xdr:rowOff>
        </xdr:to>
        <xdr:sp macro="" textlink="">
          <xdr:nvSpPr>
            <xdr:cNvPr id="11296" name="Button 32" hidden="1">
              <a:extLst>
                <a:ext uri="{63B3BB69-23CF-44E3-9099-C40C66FF867C}">
                  <a14:compatExt spid="_x0000_s11296"/>
                </a:ext>
                <a:ext uri="{FF2B5EF4-FFF2-40B4-BE49-F238E27FC236}">
                  <a16:creationId xmlns:a16="http://schemas.microsoft.com/office/drawing/2014/main" id="{00000000-0008-0000-0200-00002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8000"/>
                  </a:solidFill>
                  <a:latin typeface="Meiryo UI"/>
                  <a:ea typeface="Meiryo UI"/>
                </a:rPr>
                <a:t>読込済項目定義の削除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2</xdr:row>
          <xdr:rowOff>28575</xdr:rowOff>
        </xdr:from>
        <xdr:to>
          <xdr:col>11</xdr:col>
          <xdr:colOff>9525</xdr:colOff>
          <xdr:row>2</xdr:row>
          <xdr:rowOff>314325</xdr:rowOff>
        </xdr:to>
        <xdr:sp macro="" textlink="">
          <xdr:nvSpPr>
            <xdr:cNvPr id="11297" name="Button 33" hidden="1">
              <a:extLst>
                <a:ext uri="{63B3BB69-23CF-44E3-9099-C40C66FF867C}">
                  <a14:compatExt spid="_x0000_s11297"/>
                </a:ext>
                <a:ext uri="{FF2B5EF4-FFF2-40B4-BE49-F238E27FC236}">
                  <a16:creationId xmlns:a16="http://schemas.microsoft.com/office/drawing/2014/main" id="{00000000-0008-0000-0200-00002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8000"/>
                  </a:solidFill>
                  <a:latin typeface="Meiryo UI"/>
                  <a:ea typeface="Meiryo UI"/>
                </a:rPr>
                <a:t>連携対象項目の自動マッピング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1</xdr:row>
          <xdr:rowOff>28575</xdr:rowOff>
        </xdr:from>
        <xdr:to>
          <xdr:col>2</xdr:col>
          <xdr:colOff>1819275</xdr:colOff>
          <xdr:row>1</xdr:row>
          <xdr:rowOff>304800</xdr:rowOff>
        </xdr:to>
        <xdr:sp macro="" textlink="">
          <xdr:nvSpPr>
            <xdr:cNvPr id="11298" name="Button 34" hidden="1">
              <a:extLst>
                <a:ext uri="{63B3BB69-23CF-44E3-9099-C40C66FF867C}">
                  <a14:compatExt spid="_x0000_s11298"/>
                </a:ext>
                <a:ext uri="{FF2B5EF4-FFF2-40B4-BE49-F238E27FC236}">
                  <a16:creationId xmlns:a16="http://schemas.microsoft.com/office/drawing/2014/main" id="{00000000-0008-0000-0200-00002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00FF"/>
                  </a:solidFill>
                  <a:latin typeface="Meiryo UI"/>
                  <a:ea typeface="Meiryo UI"/>
                </a:rPr>
                <a:t>【変換元】eB-def.読込＆表示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</xdr:row>
          <xdr:rowOff>28575</xdr:rowOff>
        </xdr:from>
        <xdr:to>
          <xdr:col>16</xdr:col>
          <xdr:colOff>1076325</xdr:colOff>
          <xdr:row>2</xdr:row>
          <xdr:rowOff>314325</xdr:rowOff>
        </xdr:to>
        <xdr:sp macro="" textlink="">
          <xdr:nvSpPr>
            <xdr:cNvPr id="19457" name="Button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3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8000"/>
                  </a:solidFill>
                  <a:latin typeface="Meiryo UI"/>
                  <a:ea typeface="Meiryo UI"/>
                </a:rPr>
                <a:t>連携対象項目の妥当性チェック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2</xdr:row>
          <xdr:rowOff>28575</xdr:rowOff>
        </xdr:from>
        <xdr:to>
          <xdr:col>4</xdr:col>
          <xdr:colOff>104775</xdr:colOff>
          <xdr:row>2</xdr:row>
          <xdr:rowOff>314325</xdr:rowOff>
        </xdr:to>
        <xdr:sp macro="" textlink="">
          <xdr:nvSpPr>
            <xdr:cNvPr id="19458" name="Button 2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00000000-0008-0000-03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8000"/>
                  </a:solidFill>
                  <a:latin typeface="Meiryo UI"/>
                  <a:ea typeface="Meiryo UI"/>
                </a:rPr>
                <a:t>【変換先】eB-def.読込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457200</xdr:colOff>
          <xdr:row>2</xdr:row>
          <xdr:rowOff>28575</xdr:rowOff>
        </xdr:from>
        <xdr:to>
          <xdr:col>13</xdr:col>
          <xdr:colOff>542925</xdr:colOff>
          <xdr:row>2</xdr:row>
          <xdr:rowOff>314325</xdr:rowOff>
        </xdr:to>
        <xdr:sp macro="" textlink="">
          <xdr:nvSpPr>
            <xdr:cNvPr id="19459" name="Button 3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id="{00000000-0008-0000-03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8000"/>
                  </a:solidFill>
                  <a:latin typeface="Meiryo UI"/>
                  <a:ea typeface="Meiryo UI"/>
                </a:rPr>
                <a:t>読込済項目の検索画面を表示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28575</xdr:rowOff>
        </xdr:from>
        <xdr:to>
          <xdr:col>7</xdr:col>
          <xdr:colOff>638175</xdr:colOff>
          <xdr:row>2</xdr:row>
          <xdr:rowOff>314325</xdr:rowOff>
        </xdr:to>
        <xdr:sp macro="" textlink="">
          <xdr:nvSpPr>
            <xdr:cNvPr id="19460" name="Button 4" hidden="1">
              <a:extLst>
                <a:ext uri="{63B3BB69-23CF-44E3-9099-C40C66FF867C}">
                  <a14:compatExt spid="_x0000_s19460"/>
                </a:ext>
                <a:ext uri="{FF2B5EF4-FFF2-40B4-BE49-F238E27FC236}">
                  <a16:creationId xmlns:a16="http://schemas.microsoft.com/office/drawing/2014/main" id="{00000000-0008-0000-0300-00000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8000"/>
                  </a:solidFill>
                  <a:latin typeface="Meiryo UI"/>
                  <a:ea typeface="Meiryo UI"/>
                </a:rPr>
                <a:t>読込済項目定義の削除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2</xdr:row>
          <xdr:rowOff>28575</xdr:rowOff>
        </xdr:from>
        <xdr:to>
          <xdr:col>11</xdr:col>
          <xdr:colOff>428625</xdr:colOff>
          <xdr:row>2</xdr:row>
          <xdr:rowOff>314325</xdr:rowOff>
        </xdr:to>
        <xdr:sp macro="" textlink="">
          <xdr:nvSpPr>
            <xdr:cNvPr id="19461" name="Button 5" hidden="1">
              <a:extLst>
                <a:ext uri="{63B3BB69-23CF-44E3-9099-C40C66FF867C}">
                  <a14:compatExt spid="_x0000_s19461"/>
                </a:ext>
                <a:ext uri="{FF2B5EF4-FFF2-40B4-BE49-F238E27FC236}">
                  <a16:creationId xmlns:a16="http://schemas.microsoft.com/office/drawing/2014/main" id="{00000000-0008-0000-0300-00000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8000"/>
                  </a:solidFill>
                  <a:latin typeface="Meiryo UI"/>
                  <a:ea typeface="Meiryo UI"/>
                </a:rPr>
                <a:t>連携対象項目の自動マッピング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1</xdr:row>
          <xdr:rowOff>28575</xdr:rowOff>
        </xdr:from>
        <xdr:to>
          <xdr:col>4</xdr:col>
          <xdr:colOff>104775</xdr:colOff>
          <xdr:row>1</xdr:row>
          <xdr:rowOff>304800</xdr:rowOff>
        </xdr:to>
        <xdr:sp macro="" textlink="">
          <xdr:nvSpPr>
            <xdr:cNvPr id="19462" name="Button 6" hidden="1">
              <a:extLst>
                <a:ext uri="{63B3BB69-23CF-44E3-9099-C40C66FF867C}">
                  <a14:compatExt spid="_x0000_s19462"/>
                </a:ext>
                <a:ext uri="{FF2B5EF4-FFF2-40B4-BE49-F238E27FC236}">
                  <a16:creationId xmlns:a16="http://schemas.microsoft.com/office/drawing/2014/main" id="{00000000-0008-0000-0300-00000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00FF"/>
                  </a:solidFill>
                  <a:latin typeface="Meiryo UI"/>
                  <a:ea typeface="Meiryo UI"/>
                </a:rPr>
                <a:t>【変換元】eB-def.読込＆表示</a:t>
              </a:r>
            </a:p>
          </xdr:txBody>
        </xdr:sp>
        <xdr:clientData fPrintsWithSheet="0"/>
      </xdr:twoCellAnchor>
    </mc:Choice>
    <mc:Fallback/>
  </mc:AlternateContent>
  <xdr:twoCellAnchor>
    <xdr:from>
      <xdr:col>0</xdr:col>
      <xdr:colOff>28575</xdr:colOff>
      <xdr:row>3</xdr:row>
      <xdr:rowOff>9525</xdr:rowOff>
    </xdr:from>
    <xdr:to>
      <xdr:col>7</xdr:col>
      <xdr:colOff>0</xdr:colOff>
      <xdr:row>5</xdr:row>
      <xdr:rowOff>28575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28575" y="1009650"/>
          <a:ext cx="5248275" cy="685800"/>
        </a:xfrm>
        <a:prstGeom prst="rect">
          <a:avLst/>
        </a:prstGeom>
        <a:noFill/>
        <a:ln w="3492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7</xdr:col>
      <xdr:colOff>514349</xdr:colOff>
      <xdr:row>3</xdr:row>
      <xdr:rowOff>95251</xdr:rowOff>
    </xdr:from>
    <xdr:to>
      <xdr:col>13</xdr:col>
      <xdr:colOff>104774</xdr:colOff>
      <xdr:row>5</xdr:row>
      <xdr:rowOff>76201</xdr:rowOff>
    </xdr:to>
    <xdr:sp macro="" textlink="">
      <xdr:nvSpPr>
        <xdr:cNvPr id="9" name="角丸四角形吹き出し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5791199" y="1095376"/>
          <a:ext cx="5534025" cy="647700"/>
        </a:xfrm>
        <a:prstGeom prst="wedgeRoundRectCallout">
          <a:avLst>
            <a:gd name="adj1" fmla="val -61215"/>
            <a:gd name="adj2" fmla="val -39764"/>
            <a:gd name="adj3" fmla="val 16667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C5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セル「分割処理対象条件」に当てはまる原材料ｎが分割処理の対象となります。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この場合だと、原材料区分が「原材料」で、階層レベルが「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」であるスペック値が分割処理対象となります。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19049</xdr:colOff>
      <xdr:row>8</xdr:row>
      <xdr:rowOff>0</xdr:rowOff>
    </xdr:from>
    <xdr:to>
      <xdr:col>2</xdr:col>
      <xdr:colOff>1409699</xdr:colOff>
      <xdr:row>14</xdr:row>
      <xdr:rowOff>9525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 flipH="1">
          <a:off x="704849" y="2466975"/>
          <a:ext cx="2809875" cy="1095375"/>
        </a:xfrm>
        <a:prstGeom prst="rect">
          <a:avLst/>
        </a:prstGeom>
        <a:noFill/>
        <a:ln w="3492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</xdr:col>
      <xdr:colOff>285750</xdr:colOff>
      <xdr:row>12</xdr:row>
      <xdr:rowOff>0</xdr:rowOff>
    </xdr:from>
    <xdr:to>
      <xdr:col>8</xdr:col>
      <xdr:colOff>112307</xdr:colOff>
      <xdr:row>16</xdr:row>
      <xdr:rowOff>85725</xdr:rowOff>
    </xdr:to>
    <xdr:sp macro="" textlink="">
      <xdr:nvSpPr>
        <xdr:cNvPr id="15" name="角丸四角形吹き出し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3810000" y="3190875"/>
          <a:ext cx="2998382" cy="809625"/>
        </a:xfrm>
        <a:prstGeom prst="wedgeRoundRectCallout">
          <a:avLst>
            <a:gd name="adj1" fmla="val -59533"/>
            <a:gd name="adj2" fmla="val -50893"/>
            <a:gd name="adj3" fmla="val 16667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スペックタイプ名は空白、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スペック項目名は、カンマ並びシート「原材料詳細」で記述しているカンマ内の項目名を記述します。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2</xdr:row>
      <xdr:rowOff>95251</xdr:rowOff>
    </xdr:from>
    <xdr:to>
      <xdr:col>6</xdr:col>
      <xdr:colOff>514350</xdr:colOff>
      <xdr:row>6</xdr:row>
      <xdr:rowOff>133351</xdr:rowOff>
    </xdr:to>
    <xdr:sp macro="" textlink="">
      <xdr:nvSpPr>
        <xdr:cNvPr id="2" name="角丸四角形吹き出し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2981325" y="457201"/>
          <a:ext cx="3343275" cy="762000"/>
        </a:xfrm>
        <a:prstGeom prst="wedgeRoundRectCallout">
          <a:avLst>
            <a:gd name="adj1" fmla="val -60320"/>
            <a:gd name="adj2" fmla="val -89286"/>
            <a:gd name="adj3" fmla="val 16667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指定した分割対象スペックの値をカンマでばらした場合の順で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列に名称を記載します。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omments" Target="../comments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1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0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9.xml"/><Relationship Id="rId5" Type="http://schemas.openxmlformats.org/officeDocument/2006/relationships/ctrlProp" Target="../ctrlProps/ctrlProp8.xml"/><Relationship Id="rId10" Type="http://schemas.openxmlformats.org/officeDocument/2006/relationships/comments" Target="../comments2.xml"/><Relationship Id="rId4" Type="http://schemas.openxmlformats.org/officeDocument/2006/relationships/ctrlProp" Target="../ctrlProps/ctrlProp7.xml"/><Relationship Id="rId9" Type="http://schemas.openxmlformats.org/officeDocument/2006/relationships/ctrlProp" Target="../ctrlProps/ctrlProp1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G29"/>
  <sheetViews>
    <sheetView workbookViewId="0">
      <pane ySplit="1" topLeftCell="A20" activePane="bottomLeft" state="frozen"/>
      <selection pane="bottomLeft" activeCell="C30" sqref="C30"/>
    </sheetView>
  </sheetViews>
  <sheetFormatPr defaultColWidth="9" defaultRowHeight="14.25" x14ac:dyDescent="0.15"/>
  <cols>
    <col min="1" max="1" width="6.5" style="1" bestFit="1" customWidth="1"/>
    <col min="2" max="2" width="12.375" style="12" customWidth="1"/>
    <col min="3" max="3" width="88.375" style="12" customWidth="1"/>
    <col min="4" max="4" width="59.625" style="12" customWidth="1"/>
    <col min="5" max="7" width="11.5" style="12" bestFit="1" customWidth="1"/>
    <col min="8" max="16384" width="9" style="1"/>
  </cols>
  <sheetData>
    <row r="1" spans="1:7" x14ac:dyDescent="0.15">
      <c r="A1" s="13" t="s">
        <v>30</v>
      </c>
      <c r="B1" s="14" t="s">
        <v>31</v>
      </c>
      <c r="C1" s="14" t="s">
        <v>32</v>
      </c>
      <c r="D1" s="14" t="s">
        <v>4</v>
      </c>
      <c r="E1" s="14" t="s">
        <v>33</v>
      </c>
      <c r="F1" s="14" t="s">
        <v>362</v>
      </c>
      <c r="G1" s="14" t="s">
        <v>363</v>
      </c>
    </row>
    <row r="2" spans="1:7" x14ac:dyDescent="0.15">
      <c r="A2" s="2">
        <v>0.01</v>
      </c>
      <c r="B2" s="88"/>
      <c r="C2" s="15" t="s">
        <v>226</v>
      </c>
      <c r="D2" s="15"/>
      <c r="E2" s="15" t="s">
        <v>227</v>
      </c>
      <c r="F2" s="15"/>
      <c r="G2" s="15"/>
    </row>
    <row r="3" spans="1:7" ht="28.5" x14ac:dyDescent="0.15">
      <c r="A3" s="2">
        <v>0.03</v>
      </c>
      <c r="B3" s="88">
        <v>43683</v>
      </c>
      <c r="C3" s="87" t="s">
        <v>228</v>
      </c>
      <c r="D3" s="15"/>
      <c r="E3" s="15" t="s">
        <v>229</v>
      </c>
      <c r="F3" s="15"/>
      <c r="G3" s="15"/>
    </row>
    <row r="4" spans="1:7" x14ac:dyDescent="0.15">
      <c r="A4" s="2">
        <v>0.04</v>
      </c>
      <c r="B4" s="88">
        <v>43707</v>
      </c>
      <c r="C4" s="87" t="s">
        <v>231</v>
      </c>
      <c r="D4" s="15"/>
      <c r="E4" s="15" t="s">
        <v>229</v>
      </c>
      <c r="F4" s="15"/>
      <c r="G4" s="15"/>
    </row>
    <row r="5" spans="1:7" ht="28.5" x14ac:dyDescent="0.15">
      <c r="A5" s="2">
        <v>0.05</v>
      </c>
      <c r="B5" s="88">
        <v>43737</v>
      </c>
      <c r="C5" s="87" t="s">
        <v>233</v>
      </c>
      <c r="D5" s="15"/>
      <c r="E5" s="15" t="s">
        <v>232</v>
      </c>
      <c r="F5" s="15"/>
      <c r="G5" s="15"/>
    </row>
    <row r="6" spans="1:7" x14ac:dyDescent="0.15">
      <c r="A6" s="2">
        <v>0.06</v>
      </c>
      <c r="B6" s="88">
        <v>43802</v>
      </c>
      <c r="C6" s="15" t="s">
        <v>235</v>
      </c>
      <c r="D6" s="15"/>
      <c r="E6" s="15" t="s">
        <v>234</v>
      </c>
      <c r="F6" s="15"/>
      <c r="G6" s="15"/>
    </row>
    <row r="7" spans="1:7" x14ac:dyDescent="0.15">
      <c r="A7" s="2">
        <v>7.0000000000000007E-2</v>
      </c>
      <c r="B7" s="88">
        <v>43809</v>
      </c>
      <c r="C7" s="15" t="s">
        <v>243</v>
      </c>
      <c r="D7" s="15"/>
      <c r="E7" s="15" t="s">
        <v>242</v>
      </c>
      <c r="F7" s="15"/>
      <c r="G7" s="15"/>
    </row>
    <row r="8" spans="1:7" ht="42.75" x14ac:dyDescent="0.15">
      <c r="A8" s="2">
        <v>0.08</v>
      </c>
      <c r="B8" s="88">
        <v>43818</v>
      </c>
      <c r="C8" s="87" t="s">
        <v>246</v>
      </c>
      <c r="D8" s="15"/>
      <c r="E8" s="15" t="s">
        <v>234</v>
      </c>
      <c r="F8" s="15"/>
      <c r="G8" s="15"/>
    </row>
    <row r="9" spans="1:7" x14ac:dyDescent="0.15">
      <c r="A9" s="2">
        <v>0.09</v>
      </c>
      <c r="B9" s="88">
        <v>43825</v>
      </c>
      <c r="C9" s="15" t="s">
        <v>248</v>
      </c>
      <c r="D9" s="15"/>
      <c r="E9" s="15" t="s">
        <v>234</v>
      </c>
      <c r="F9" s="15"/>
      <c r="G9" s="15"/>
    </row>
    <row r="10" spans="1:7" x14ac:dyDescent="0.15">
      <c r="A10" s="90">
        <v>0.1</v>
      </c>
      <c r="B10" s="88">
        <v>43837</v>
      </c>
      <c r="C10" s="15" t="s">
        <v>249</v>
      </c>
      <c r="D10" s="15"/>
      <c r="E10" s="15" t="s">
        <v>227</v>
      </c>
      <c r="F10" s="15"/>
      <c r="G10" s="15"/>
    </row>
    <row r="11" spans="1:7" ht="57.95" customHeight="1" x14ac:dyDescent="0.15">
      <c r="A11" s="2">
        <v>0.11</v>
      </c>
      <c r="B11" s="88">
        <v>43844</v>
      </c>
      <c r="C11" s="87" t="s">
        <v>253</v>
      </c>
      <c r="D11" s="15"/>
      <c r="E11" s="15" t="s">
        <v>252</v>
      </c>
      <c r="F11" s="15"/>
      <c r="G11" s="15"/>
    </row>
    <row r="12" spans="1:7" ht="42.75" x14ac:dyDescent="0.15">
      <c r="A12" s="90">
        <v>0.12</v>
      </c>
      <c r="B12" s="88">
        <v>43845</v>
      </c>
      <c r="C12" s="87" t="s">
        <v>260</v>
      </c>
      <c r="D12" s="15"/>
      <c r="E12" s="15" t="s">
        <v>255</v>
      </c>
      <c r="F12" s="15"/>
      <c r="G12" s="15"/>
    </row>
    <row r="13" spans="1:7" ht="28.5" x14ac:dyDescent="0.15">
      <c r="A13" s="2">
        <v>0.13</v>
      </c>
      <c r="B13" s="88">
        <v>43857</v>
      </c>
      <c r="C13" s="91" t="s">
        <v>262</v>
      </c>
      <c r="D13" s="15"/>
      <c r="E13" s="15" t="s">
        <v>261</v>
      </c>
      <c r="F13" s="15"/>
      <c r="G13" s="15"/>
    </row>
    <row r="14" spans="1:7" ht="255" customHeight="1" x14ac:dyDescent="0.15">
      <c r="A14" s="2">
        <v>0.14000000000000001</v>
      </c>
      <c r="B14" s="88">
        <v>43859</v>
      </c>
      <c r="C14" s="91" t="s">
        <v>300</v>
      </c>
      <c r="D14" s="15"/>
      <c r="E14" s="15" t="s">
        <v>234</v>
      </c>
      <c r="F14" s="15"/>
      <c r="G14" s="15"/>
    </row>
    <row r="15" spans="1:7" ht="28.5" x14ac:dyDescent="0.15">
      <c r="A15" s="2">
        <v>0.15</v>
      </c>
      <c r="B15" s="88">
        <v>43860</v>
      </c>
      <c r="C15" s="91" t="s">
        <v>301</v>
      </c>
      <c r="D15" s="15"/>
      <c r="E15" s="15" t="s">
        <v>234</v>
      </c>
      <c r="F15" s="15"/>
      <c r="G15" s="15"/>
    </row>
    <row r="16" spans="1:7" ht="114" x14ac:dyDescent="0.15">
      <c r="A16" s="2">
        <v>0.16</v>
      </c>
      <c r="B16" s="88">
        <v>43861</v>
      </c>
      <c r="C16" s="91" t="s">
        <v>303</v>
      </c>
      <c r="D16" s="15"/>
      <c r="E16" s="15" t="s">
        <v>302</v>
      </c>
      <c r="F16" s="15"/>
      <c r="G16" s="15"/>
    </row>
    <row r="17" spans="1:7" ht="28.5" x14ac:dyDescent="0.15">
      <c r="A17" s="2">
        <v>0.17</v>
      </c>
      <c r="B17" s="88">
        <v>43861</v>
      </c>
      <c r="C17" s="91" t="s">
        <v>307</v>
      </c>
      <c r="D17" s="15"/>
      <c r="E17" s="15" t="s">
        <v>234</v>
      </c>
      <c r="F17" s="15"/>
      <c r="G17" s="15"/>
    </row>
    <row r="18" spans="1:7" ht="28.5" x14ac:dyDescent="0.15">
      <c r="A18" s="2">
        <v>0.18</v>
      </c>
      <c r="B18" s="88">
        <v>43865</v>
      </c>
      <c r="C18" s="91" t="s">
        <v>314</v>
      </c>
      <c r="D18" s="15"/>
      <c r="E18" s="15" t="s">
        <v>255</v>
      </c>
      <c r="F18" s="15"/>
      <c r="G18" s="15"/>
    </row>
    <row r="19" spans="1:7" x14ac:dyDescent="0.15">
      <c r="A19" s="2">
        <v>0.19</v>
      </c>
      <c r="B19" s="88">
        <v>43874</v>
      </c>
      <c r="C19" s="91" t="s">
        <v>350</v>
      </c>
      <c r="D19" s="15"/>
      <c r="E19" s="15" t="s">
        <v>255</v>
      </c>
      <c r="F19" s="15"/>
      <c r="G19" s="15"/>
    </row>
    <row r="20" spans="1:7" ht="42.75" x14ac:dyDescent="0.15">
      <c r="A20" s="90">
        <v>0.2</v>
      </c>
      <c r="B20" s="88">
        <v>43880</v>
      </c>
      <c r="C20" s="87" t="s">
        <v>360</v>
      </c>
      <c r="D20" s="15"/>
      <c r="E20" s="15" t="s">
        <v>359</v>
      </c>
      <c r="F20" s="15"/>
      <c r="G20" s="15"/>
    </row>
    <row r="21" spans="1:7" ht="42.75" x14ac:dyDescent="0.15">
      <c r="A21" s="90">
        <v>0.21</v>
      </c>
      <c r="B21" s="88">
        <v>43893</v>
      </c>
      <c r="C21" s="87" t="s">
        <v>361</v>
      </c>
      <c r="D21" s="15"/>
      <c r="E21" s="15" t="s">
        <v>359</v>
      </c>
      <c r="F21" s="15" t="s">
        <v>364</v>
      </c>
      <c r="G21" s="15"/>
    </row>
    <row r="22" spans="1:7" ht="42.75" x14ac:dyDescent="0.15">
      <c r="A22" s="90">
        <v>0.22</v>
      </c>
      <c r="B22" s="88">
        <v>43902</v>
      </c>
      <c r="C22" s="87" t="s">
        <v>365</v>
      </c>
      <c r="D22" s="15"/>
      <c r="E22" s="15" t="s">
        <v>359</v>
      </c>
      <c r="F22" s="15"/>
      <c r="G22" s="15"/>
    </row>
    <row r="23" spans="1:7" ht="28.5" x14ac:dyDescent="0.15">
      <c r="A23" s="90">
        <v>0.23</v>
      </c>
      <c r="B23" s="88">
        <v>43906</v>
      </c>
      <c r="C23" s="87" t="s">
        <v>381</v>
      </c>
      <c r="D23" s="15"/>
      <c r="E23" s="15" t="s">
        <v>359</v>
      </c>
      <c r="F23" s="15"/>
      <c r="G23" s="15"/>
    </row>
    <row r="24" spans="1:7" ht="28.5" x14ac:dyDescent="0.15">
      <c r="A24" s="90">
        <v>0.24</v>
      </c>
      <c r="B24" s="88">
        <v>43907</v>
      </c>
      <c r="C24" s="87" t="s">
        <v>383</v>
      </c>
      <c r="D24" s="15"/>
      <c r="E24" s="15" t="s">
        <v>302</v>
      </c>
      <c r="F24" s="15"/>
      <c r="G24" s="15"/>
    </row>
    <row r="25" spans="1:7" ht="28.5" x14ac:dyDescent="0.15">
      <c r="A25" s="90">
        <v>0.25</v>
      </c>
      <c r="B25" s="88">
        <v>43917</v>
      </c>
      <c r="C25" s="87" t="s">
        <v>386</v>
      </c>
      <c r="D25" s="15"/>
      <c r="E25" s="15" t="s">
        <v>255</v>
      </c>
      <c r="F25" s="15"/>
      <c r="G25" s="15"/>
    </row>
    <row r="26" spans="1:7" ht="28.5" x14ac:dyDescent="0.15">
      <c r="A26" s="90">
        <v>0.26</v>
      </c>
      <c r="B26" s="88">
        <v>43979</v>
      </c>
      <c r="C26" s="87" t="s">
        <v>388</v>
      </c>
      <c r="D26" s="15"/>
      <c r="E26" s="15" t="s">
        <v>255</v>
      </c>
      <c r="F26" s="15"/>
      <c r="G26" s="15"/>
    </row>
    <row r="27" spans="1:7" ht="28.5" x14ac:dyDescent="0.15">
      <c r="A27" s="90">
        <v>0.27</v>
      </c>
      <c r="B27" s="88">
        <v>44011</v>
      </c>
      <c r="C27" s="87" t="s">
        <v>390</v>
      </c>
      <c r="D27" s="15"/>
      <c r="E27" s="15" t="s">
        <v>255</v>
      </c>
      <c r="F27" s="15"/>
      <c r="G27" s="15"/>
    </row>
    <row r="28" spans="1:7" ht="28.5" x14ac:dyDescent="0.15">
      <c r="A28" s="90">
        <v>0.28000000000000003</v>
      </c>
      <c r="B28" s="88">
        <v>44012</v>
      </c>
      <c r="C28" s="87" t="s">
        <v>392</v>
      </c>
      <c r="D28" s="15"/>
      <c r="E28" s="15" t="s">
        <v>255</v>
      </c>
      <c r="F28" s="15"/>
      <c r="G28" s="15"/>
    </row>
    <row r="29" spans="1:7" ht="28.5" x14ac:dyDescent="0.15">
      <c r="A29" s="90">
        <v>0.28999999999999998</v>
      </c>
      <c r="B29" s="88">
        <v>44109</v>
      </c>
      <c r="C29" s="87" t="s">
        <v>398</v>
      </c>
      <c r="D29" s="15"/>
      <c r="E29" s="15" t="s">
        <v>397</v>
      </c>
      <c r="F29" s="15"/>
      <c r="G29" s="15"/>
    </row>
  </sheetData>
  <phoneticPr fontId="3"/>
  <pageMargins left="0.59055118110236227" right="0.59055118110236227" top="0.59055118110236227" bottom="0.59055118110236227" header="0.19685039370078741" footer="0.19685039370078741"/>
  <pageSetup paperSize="9" orientation="landscape" r:id="rId1"/>
  <headerFooter>
    <oddHeader>&amp;L&amp;A&amp;R&amp;D</oddHeader>
    <oddFooter>&amp;C&amp;P/&amp;N&amp;R&amp;F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CD83"/>
  <sheetViews>
    <sheetView view="pageBreakPreview" zoomScale="70" zoomScaleNormal="70" zoomScaleSheetLayoutView="70" workbookViewId="0">
      <selection activeCell="B1" sqref="B1:F2"/>
    </sheetView>
  </sheetViews>
  <sheetFormatPr defaultColWidth="2.875" defaultRowHeight="18.75" x14ac:dyDescent="0.45"/>
  <cols>
    <col min="1" max="1" width="3.125" style="64" customWidth="1"/>
    <col min="2" max="256" width="2.875" style="64"/>
    <col min="257" max="257" width="8.875" style="64" customWidth="1"/>
    <col min="258" max="512" width="2.875" style="64"/>
    <col min="513" max="513" width="8.875" style="64" customWidth="1"/>
    <col min="514" max="768" width="2.875" style="64"/>
    <col min="769" max="769" width="8.875" style="64" customWidth="1"/>
    <col min="770" max="1024" width="2.875" style="64"/>
    <col min="1025" max="1025" width="8.875" style="64" customWidth="1"/>
    <col min="1026" max="1280" width="2.875" style="64"/>
    <col min="1281" max="1281" width="8.875" style="64" customWidth="1"/>
    <col min="1282" max="1536" width="2.875" style="64"/>
    <col min="1537" max="1537" width="8.875" style="64" customWidth="1"/>
    <col min="1538" max="1792" width="2.875" style="64"/>
    <col min="1793" max="1793" width="8.875" style="64" customWidth="1"/>
    <col min="1794" max="2048" width="2.875" style="64"/>
    <col min="2049" max="2049" width="8.875" style="64" customWidth="1"/>
    <col min="2050" max="2304" width="2.875" style="64"/>
    <col min="2305" max="2305" width="8.875" style="64" customWidth="1"/>
    <col min="2306" max="2560" width="2.875" style="64"/>
    <col min="2561" max="2561" width="8.875" style="64" customWidth="1"/>
    <col min="2562" max="2816" width="2.875" style="64"/>
    <col min="2817" max="2817" width="8.875" style="64" customWidth="1"/>
    <col min="2818" max="3072" width="2.875" style="64"/>
    <col min="3073" max="3073" width="8.875" style="64" customWidth="1"/>
    <col min="3074" max="3328" width="2.875" style="64"/>
    <col min="3329" max="3329" width="8.875" style="64" customWidth="1"/>
    <col min="3330" max="3584" width="2.875" style="64"/>
    <col min="3585" max="3585" width="8.875" style="64" customWidth="1"/>
    <col min="3586" max="3840" width="2.875" style="64"/>
    <col min="3841" max="3841" width="8.875" style="64" customWidth="1"/>
    <col min="3842" max="4096" width="2.875" style="64"/>
    <col min="4097" max="4097" width="8.875" style="64" customWidth="1"/>
    <col min="4098" max="4352" width="2.875" style="64"/>
    <col min="4353" max="4353" width="8.875" style="64" customWidth="1"/>
    <col min="4354" max="4608" width="2.875" style="64"/>
    <col min="4609" max="4609" width="8.875" style="64" customWidth="1"/>
    <col min="4610" max="4864" width="2.875" style="64"/>
    <col min="4865" max="4865" width="8.875" style="64" customWidth="1"/>
    <col min="4866" max="5120" width="2.875" style="64"/>
    <col min="5121" max="5121" width="8.875" style="64" customWidth="1"/>
    <col min="5122" max="5376" width="2.875" style="64"/>
    <col min="5377" max="5377" width="8.875" style="64" customWidth="1"/>
    <col min="5378" max="5632" width="2.875" style="64"/>
    <col min="5633" max="5633" width="8.875" style="64" customWidth="1"/>
    <col min="5634" max="5888" width="2.875" style="64"/>
    <col min="5889" max="5889" width="8.875" style="64" customWidth="1"/>
    <col min="5890" max="6144" width="2.875" style="64"/>
    <col min="6145" max="6145" width="8.875" style="64" customWidth="1"/>
    <col min="6146" max="6400" width="2.875" style="64"/>
    <col min="6401" max="6401" width="8.875" style="64" customWidth="1"/>
    <col min="6402" max="6656" width="2.875" style="64"/>
    <col min="6657" max="6657" width="8.875" style="64" customWidth="1"/>
    <col min="6658" max="6912" width="2.875" style="64"/>
    <col min="6913" max="6913" width="8.875" style="64" customWidth="1"/>
    <col min="6914" max="7168" width="2.875" style="64"/>
    <col min="7169" max="7169" width="8.875" style="64" customWidth="1"/>
    <col min="7170" max="7424" width="2.875" style="64"/>
    <col min="7425" max="7425" width="8.875" style="64" customWidth="1"/>
    <col min="7426" max="7680" width="2.875" style="64"/>
    <col min="7681" max="7681" width="8.875" style="64" customWidth="1"/>
    <col min="7682" max="7936" width="2.875" style="64"/>
    <col min="7937" max="7937" width="8.875" style="64" customWidth="1"/>
    <col min="7938" max="8192" width="2.875" style="64"/>
    <col min="8193" max="8193" width="8.875" style="64" customWidth="1"/>
    <col min="8194" max="8448" width="2.875" style="64"/>
    <col min="8449" max="8449" width="8.875" style="64" customWidth="1"/>
    <col min="8450" max="8704" width="2.875" style="64"/>
    <col min="8705" max="8705" width="8.875" style="64" customWidth="1"/>
    <col min="8706" max="8960" width="2.875" style="64"/>
    <col min="8961" max="8961" width="8.875" style="64" customWidth="1"/>
    <col min="8962" max="9216" width="2.875" style="64"/>
    <col min="9217" max="9217" width="8.875" style="64" customWidth="1"/>
    <col min="9218" max="9472" width="2.875" style="64"/>
    <col min="9473" max="9473" width="8.875" style="64" customWidth="1"/>
    <col min="9474" max="9728" width="2.875" style="64"/>
    <col min="9729" max="9729" width="8.875" style="64" customWidth="1"/>
    <col min="9730" max="9984" width="2.875" style="64"/>
    <col min="9985" max="9985" width="8.875" style="64" customWidth="1"/>
    <col min="9986" max="10240" width="2.875" style="64"/>
    <col min="10241" max="10241" width="8.875" style="64" customWidth="1"/>
    <col min="10242" max="10496" width="2.875" style="64"/>
    <col min="10497" max="10497" width="8.875" style="64" customWidth="1"/>
    <col min="10498" max="10752" width="2.875" style="64"/>
    <col min="10753" max="10753" width="8.875" style="64" customWidth="1"/>
    <col min="10754" max="11008" width="2.875" style="64"/>
    <col min="11009" max="11009" width="8.875" style="64" customWidth="1"/>
    <col min="11010" max="11264" width="2.875" style="64"/>
    <col min="11265" max="11265" width="8.875" style="64" customWidth="1"/>
    <col min="11266" max="11520" width="2.875" style="64"/>
    <col min="11521" max="11521" width="8.875" style="64" customWidth="1"/>
    <col min="11522" max="11776" width="2.875" style="64"/>
    <col min="11777" max="11777" width="8.875" style="64" customWidth="1"/>
    <col min="11778" max="12032" width="2.875" style="64"/>
    <col min="12033" max="12033" width="8.875" style="64" customWidth="1"/>
    <col min="12034" max="12288" width="2.875" style="64"/>
    <col min="12289" max="12289" width="8.875" style="64" customWidth="1"/>
    <col min="12290" max="12544" width="2.875" style="64"/>
    <col min="12545" max="12545" width="8.875" style="64" customWidth="1"/>
    <col min="12546" max="12800" width="2.875" style="64"/>
    <col min="12801" max="12801" width="8.875" style="64" customWidth="1"/>
    <col min="12802" max="13056" width="2.875" style="64"/>
    <col min="13057" max="13057" width="8.875" style="64" customWidth="1"/>
    <col min="13058" max="13312" width="2.875" style="64"/>
    <col min="13313" max="13313" width="8.875" style="64" customWidth="1"/>
    <col min="13314" max="13568" width="2.875" style="64"/>
    <col min="13569" max="13569" width="8.875" style="64" customWidth="1"/>
    <col min="13570" max="13824" width="2.875" style="64"/>
    <col min="13825" max="13825" width="8.875" style="64" customWidth="1"/>
    <col min="13826" max="14080" width="2.875" style="64"/>
    <col min="14081" max="14081" width="8.875" style="64" customWidth="1"/>
    <col min="14082" max="14336" width="2.875" style="64"/>
    <col min="14337" max="14337" width="8.875" style="64" customWidth="1"/>
    <col min="14338" max="14592" width="2.875" style="64"/>
    <col min="14593" max="14593" width="8.875" style="64" customWidth="1"/>
    <col min="14594" max="14848" width="2.875" style="64"/>
    <col min="14849" max="14849" width="8.875" style="64" customWidth="1"/>
    <col min="14850" max="15104" width="2.875" style="64"/>
    <col min="15105" max="15105" width="8.875" style="64" customWidth="1"/>
    <col min="15106" max="15360" width="2.875" style="64"/>
    <col min="15361" max="15361" width="8.875" style="64" customWidth="1"/>
    <col min="15362" max="15616" width="2.875" style="64"/>
    <col min="15617" max="15617" width="8.875" style="64" customWidth="1"/>
    <col min="15618" max="15872" width="2.875" style="64"/>
    <col min="15873" max="15873" width="8.875" style="64" customWidth="1"/>
    <col min="15874" max="16128" width="2.875" style="64"/>
    <col min="16129" max="16129" width="8.875" style="64" customWidth="1"/>
    <col min="16130" max="16384" width="2.875" style="64"/>
  </cols>
  <sheetData>
    <row r="1" spans="2:73" x14ac:dyDescent="0.45">
      <c r="B1" s="160" t="s">
        <v>214</v>
      </c>
      <c r="C1" s="161"/>
      <c r="D1" s="161"/>
      <c r="E1" s="161"/>
      <c r="F1" s="161"/>
      <c r="G1" s="162" t="s">
        <v>215</v>
      </c>
      <c r="H1" s="163"/>
      <c r="I1" s="163"/>
      <c r="J1" s="163"/>
      <c r="K1" s="163"/>
      <c r="L1" s="163"/>
      <c r="M1" s="163"/>
      <c r="N1" s="163"/>
      <c r="O1" s="163"/>
      <c r="P1" s="163"/>
      <c r="Q1" s="156" t="s">
        <v>216</v>
      </c>
      <c r="R1" s="156"/>
      <c r="S1" s="156"/>
      <c r="T1" s="156"/>
      <c r="U1" s="156"/>
      <c r="V1" s="156" t="s">
        <v>223</v>
      </c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  <c r="AO1" s="156"/>
      <c r="AP1" s="156"/>
      <c r="AQ1" s="156"/>
      <c r="AR1" s="156"/>
      <c r="AS1" s="156"/>
      <c r="AT1" s="156"/>
      <c r="AU1" s="156"/>
      <c r="AV1" s="156"/>
      <c r="AW1" s="156"/>
      <c r="AX1" s="156"/>
      <c r="AY1" s="156"/>
      <c r="AZ1" s="156"/>
      <c r="BA1" s="156"/>
      <c r="BB1" s="156"/>
      <c r="BC1" s="158" t="s">
        <v>217</v>
      </c>
      <c r="BD1" s="158"/>
      <c r="BE1" s="158"/>
      <c r="BF1" s="159">
        <v>43649</v>
      </c>
      <c r="BG1" s="156"/>
      <c r="BH1" s="156"/>
      <c r="BI1" s="156"/>
      <c r="BJ1" s="156"/>
      <c r="BK1" s="156" t="s">
        <v>218</v>
      </c>
      <c r="BL1" s="156"/>
      <c r="BM1" s="156"/>
      <c r="BN1" s="156"/>
      <c r="BO1" s="157" t="s">
        <v>219</v>
      </c>
      <c r="BP1" s="156"/>
      <c r="BQ1" s="156"/>
      <c r="BR1" s="156"/>
      <c r="BS1" s="156"/>
      <c r="BT1" s="156"/>
      <c r="BU1" s="156"/>
    </row>
    <row r="2" spans="2:73" x14ac:dyDescent="0.45">
      <c r="B2" s="161"/>
      <c r="C2" s="161"/>
      <c r="D2" s="161"/>
      <c r="E2" s="161"/>
      <c r="F2" s="161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  <c r="AN2" s="156"/>
      <c r="AO2" s="156"/>
      <c r="AP2" s="156"/>
      <c r="AQ2" s="156"/>
      <c r="AR2" s="156"/>
      <c r="AS2" s="156"/>
      <c r="AT2" s="156"/>
      <c r="AU2" s="156"/>
      <c r="AV2" s="156"/>
      <c r="AW2" s="156"/>
      <c r="AX2" s="156"/>
      <c r="AY2" s="156"/>
      <c r="AZ2" s="156"/>
      <c r="BA2" s="156"/>
      <c r="BB2" s="156"/>
      <c r="BC2" s="158" t="s">
        <v>220</v>
      </c>
      <c r="BD2" s="158"/>
      <c r="BE2" s="158"/>
      <c r="BF2" s="159">
        <f>MAX(変更履歴!B:B)</f>
        <v>44109</v>
      </c>
      <c r="BG2" s="159"/>
      <c r="BH2" s="159"/>
      <c r="BI2" s="159"/>
      <c r="BJ2" s="159"/>
      <c r="BK2" s="156"/>
      <c r="BL2" s="156"/>
      <c r="BM2" s="156"/>
      <c r="BN2" s="156"/>
      <c r="BO2" s="156"/>
      <c r="BP2" s="156"/>
      <c r="BQ2" s="156"/>
      <c r="BR2" s="156"/>
      <c r="BS2" s="156"/>
      <c r="BT2" s="156"/>
      <c r="BU2" s="156"/>
    </row>
    <row r="3" spans="2:73" ht="17.45" customHeight="1" x14ac:dyDescent="0.45">
      <c r="B3" s="65"/>
      <c r="C3" s="66"/>
      <c r="D3" s="66"/>
      <c r="E3" s="66"/>
      <c r="F3" s="66"/>
      <c r="G3" s="66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6"/>
      <c r="BQ3" s="66"/>
      <c r="BR3" s="66"/>
      <c r="BS3" s="66"/>
      <c r="BT3" s="66"/>
      <c r="BU3" s="68"/>
    </row>
    <row r="4" spans="2:73" ht="17.45" customHeight="1" x14ac:dyDescent="0.45">
      <c r="B4" s="69"/>
      <c r="D4" s="70" t="s">
        <v>221</v>
      </c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U4" s="72"/>
    </row>
    <row r="5" spans="2:73" ht="17.45" customHeight="1" x14ac:dyDescent="0.45">
      <c r="B5" s="69"/>
      <c r="D5" s="70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U5" s="72"/>
    </row>
    <row r="6" spans="2:73" ht="17.45" customHeight="1" x14ac:dyDescent="0.45">
      <c r="B6" s="69"/>
      <c r="D6" s="70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U6" s="72"/>
    </row>
    <row r="7" spans="2:73" ht="17.45" customHeight="1" x14ac:dyDescent="0.45">
      <c r="B7" s="69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U7" s="72"/>
    </row>
    <row r="8" spans="2:73" ht="17.45" customHeight="1" x14ac:dyDescent="0.45">
      <c r="B8" s="69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U8" s="72"/>
    </row>
    <row r="9" spans="2:73" ht="17.45" customHeight="1" x14ac:dyDescent="0.45">
      <c r="B9" s="69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U9" s="72"/>
    </row>
    <row r="10" spans="2:73" ht="17.45" customHeight="1" x14ac:dyDescent="0.45">
      <c r="B10" s="69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U10" s="72"/>
    </row>
    <row r="11" spans="2:73" ht="17.45" customHeight="1" x14ac:dyDescent="0.45">
      <c r="B11" s="69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U11" s="72"/>
    </row>
    <row r="12" spans="2:73" ht="17.45" customHeight="1" x14ac:dyDescent="0.45">
      <c r="B12" s="69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U12" s="72"/>
    </row>
    <row r="13" spans="2:73" ht="17.45" customHeight="1" x14ac:dyDescent="0.45">
      <c r="B13" s="69"/>
      <c r="BU13" s="72"/>
    </row>
    <row r="14" spans="2:73" ht="17.45" customHeight="1" x14ac:dyDescent="0.45">
      <c r="B14" s="69"/>
      <c r="C14" s="73"/>
      <c r="D14" s="73"/>
      <c r="E14" s="73"/>
      <c r="F14" s="73"/>
      <c r="G14" s="73"/>
      <c r="BU14" s="72"/>
    </row>
    <row r="15" spans="2:73" ht="17.45" customHeight="1" x14ac:dyDescent="0.45">
      <c r="B15" s="69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2"/>
    </row>
    <row r="16" spans="2:73" ht="17.45" customHeight="1" x14ac:dyDescent="0.45">
      <c r="B16" s="69"/>
      <c r="C16" s="75"/>
      <c r="D16" s="75"/>
      <c r="E16" s="75"/>
      <c r="F16" s="75"/>
      <c r="G16" s="75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2"/>
    </row>
    <row r="17" spans="2:73" x14ac:dyDescent="0.45">
      <c r="B17" s="69"/>
      <c r="C17" s="75"/>
      <c r="D17" s="75"/>
      <c r="E17" s="75"/>
      <c r="F17" s="75"/>
      <c r="G17" s="75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2"/>
    </row>
    <row r="18" spans="2:73" x14ac:dyDescent="0.45">
      <c r="B18" s="69"/>
      <c r="C18" s="75"/>
      <c r="D18" s="75"/>
      <c r="E18" s="75"/>
      <c r="F18" s="75"/>
      <c r="G18" s="75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2"/>
    </row>
    <row r="19" spans="2:73" ht="19.5" x14ac:dyDescent="0.45">
      <c r="B19" s="69"/>
      <c r="C19" s="75"/>
      <c r="D19" s="78" t="s">
        <v>332</v>
      </c>
      <c r="E19" s="79"/>
      <c r="F19" s="75"/>
      <c r="G19" s="75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7"/>
      <c r="BQ19" s="77"/>
      <c r="BR19" s="77"/>
      <c r="BS19" s="77"/>
      <c r="BT19" s="77"/>
      <c r="BU19" s="72"/>
    </row>
    <row r="20" spans="2:73" x14ac:dyDescent="0.45">
      <c r="B20" s="69"/>
      <c r="C20" s="75"/>
      <c r="D20" s="75"/>
      <c r="E20" s="75" t="s">
        <v>334</v>
      </c>
      <c r="F20" s="75"/>
      <c r="G20" s="75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7"/>
      <c r="BQ20" s="77"/>
      <c r="BR20" s="77"/>
      <c r="BS20" s="77"/>
      <c r="BT20" s="77"/>
      <c r="BU20" s="72"/>
    </row>
    <row r="21" spans="2:73" x14ac:dyDescent="0.45">
      <c r="B21" s="69"/>
      <c r="C21" s="75"/>
      <c r="D21" s="75"/>
      <c r="E21" s="75" t="s">
        <v>224</v>
      </c>
      <c r="F21" s="75"/>
      <c r="G21" s="75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7"/>
      <c r="BQ21" s="77"/>
      <c r="BR21" s="77"/>
      <c r="BS21" s="77"/>
      <c r="BT21" s="77"/>
      <c r="BU21" s="72"/>
    </row>
    <row r="22" spans="2:73" x14ac:dyDescent="0.45">
      <c r="B22" s="69"/>
      <c r="C22" s="75"/>
      <c r="D22" s="75"/>
      <c r="E22" s="75" t="s">
        <v>222</v>
      </c>
      <c r="F22" s="75"/>
      <c r="G22" s="75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Q22" s="77"/>
      <c r="BR22" s="77"/>
      <c r="BS22" s="77"/>
      <c r="BT22" s="77"/>
      <c r="BU22" s="72"/>
    </row>
    <row r="23" spans="2:73" x14ac:dyDescent="0.45">
      <c r="B23" s="69"/>
      <c r="C23" s="75"/>
      <c r="D23" s="75"/>
      <c r="E23" s="75"/>
      <c r="F23" s="75"/>
      <c r="G23" s="75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Q23" s="77"/>
      <c r="BR23" s="77"/>
      <c r="BS23" s="77"/>
      <c r="BT23" s="77"/>
      <c r="BU23" s="72"/>
    </row>
    <row r="24" spans="2:73" ht="19.5" x14ac:dyDescent="0.45">
      <c r="B24" s="69"/>
      <c r="C24" s="75"/>
      <c r="D24" s="78" t="s">
        <v>316</v>
      </c>
      <c r="E24" s="75"/>
      <c r="F24" s="75"/>
      <c r="G24" s="75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7"/>
      <c r="BQ24" s="77"/>
      <c r="BR24" s="77"/>
      <c r="BS24" s="77"/>
      <c r="BT24" s="77"/>
      <c r="BU24" s="72"/>
    </row>
    <row r="25" spans="2:73" x14ac:dyDescent="0.45">
      <c r="B25" s="69"/>
      <c r="C25" s="75"/>
      <c r="D25" s="75"/>
      <c r="E25" s="75" t="s">
        <v>317</v>
      </c>
      <c r="G25" s="75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7"/>
      <c r="BQ25" s="77"/>
      <c r="BR25" s="77"/>
      <c r="BS25" s="77"/>
      <c r="BT25" s="77"/>
      <c r="BU25" s="72"/>
    </row>
    <row r="26" spans="2:73" x14ac:dyDescent="0.45">
      <c r="B26" s="69"/>
      <c r="C26" s="75"/>
      <c r="D26" s="75"/>
      <c r="E26" s="75"/>
      <c r="F26" s="80"/>
      <c r="G26" s="75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7"/>
      <c r="BQ26" s="77"/>
      <c r="BR26" s="77"/>
      <c r="BS26" s="77"/>
      <c r="BT26" s="77"/>
      <c r="BU26" s="72"/>
    </row>
    <row r="27" spans="2:73" ht="19.5" x14ac:dyDescent="0.45">
      <c r="B27" s="69"/>
      <c r="C27" s="75"/>
      <c r="D27" s="78" t="s">
        <v>318</v>
      </c>
      <c r="E27" s="75"/>
      <c r="F27" s="80"/>
      <c r="G27" s="75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7"/>
      <c r="X27" s="77"/>
      <c r="Y27" s="77"/>
      <c r="Z27" s="77"/>
      <c r="AA27" s="77"/>
      <c r="AB27" s="77"/>
      <c r="AC27" s="77"/>
      <c r="AD27" s="77"/>
      <c r="BN27" s="77"/>
      <c r="BO27" s="77"/>
      <c r="BP27" s="77"/>
      <c r="BQ27" s="77"/>
      <c r="BR27" s="77"/>
      <c r="BS27" s="77"/>
      <c r="BT27" s="77"/>
      <c r="BU27" s="72"/>
    </row>
    <row r="28" spans="2:73" x14ac:dyDescent="0.45">
      <c r="B28" s="69"/>
      <c r="C28" s="75"/>
      <c r="D28" s="75"/>
      <c r="E28" s="75" t="s">
        <v>319</v>
      </c>
      <c r="F28" s="80"/>
      <c r="G28" s="75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7"/>
      <c r="X28" s="77"/>
      <c r="Y28" s="77"/>
      <c r="Z28" s="77"/>
      <c r="AA28" s="77"/>
      <c r="AB28" s="77"/>
      <c r="AC28" s="77"/>
      <c r="AD28" s="77"/>
      <c r="BN28" s="77"/>
      <c r="BO28" s="77"/>
      <c r="BP28" s="77"/>
      <c r="BQ28" s="77"/>
      <c r="BR28" s="77"/>
      <c r="BS28" s="77"/>
      <c r="BT28" s="77"/>
      <c r="BU28" s="72"/>
    </row>
    <row r="29" spans="2:73" x14ac:dyDescent="0.45">
      <c r="B29" s="69"/>
      <c r="C29" s="75"/>
      <c r="D29" s="75"/>
      <c r="E29" s="75"/>
      <c r="F29" s="80"/>
      <c r="G29" s="75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7"/>
      <c r="X29" s="77"/>
      <c r="Y29" s="77"/>
      <c r="Z29" s="77"/>
      <c r="AA29" s="77"/>
      <c r="AB29" s="77"/>
      <c r="AC29" s="77"/>
      <c r="AD29" s="77"/>
      <c r="BN29" s="77"/>
      <c r="BO29" s="77"/>
      <c r="BP29" s="77"/>
      <c r="BQ29" s="77"/>
      <c r="BR29" s="77"/>
      <c r="BS29" s="77"/>
      <c r="BT29" s="77"/>
      <c r="BU29" s="72"/>
    </row>
    <row r="30" spans="2:73" ht="19.5" x14ac:dyDescent="0.45">
      <c r="B30" s="69"/>
      <c r="C30" s="75"/>
      <c r="D30" s="78" t="s">
        <v>320</v>
      </c>
      <c r="E30" s="75"/>
      <c r="F30" s="76"/>
      <c r="G30" s="75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7"/>
      <c r="X30" s="77"/>
      <c r="Y30" s="77"/>
      <c r="Z30" s="77"/>
      <c r="AA30" s="77"/>
      <c r="AB30" s="77"/>
      <c r="AC30" s="77"/>
      <c r="AD30" s="77"/>
      <c r="BN30" s="77"/>
      <c r="BO30" s="77"/>
      <c r="BP30" s="77"/>
      <c r="BQ30" s="77"/>
      <c r="BR30" s="77"/>
      <c r="BS30" s="77"/>
      <c r="BT30" s="77"/>
      <c r="BU30" s="72"/>
    </row>
    <row r="31" spans="2:73" ht="19.5" x14ac:dyDescent="0.45">
      <c r="B31" s="69"/>
      <c r="C31" s="75"/>
      <c r="D31" s="78"/>
      <c r="E31" s="79" t="s">
        <v>333</v>
      </c>
      <c r="F31" s="76"/>
      <c r="G31" s="75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7"/>
      <c r="X31" s="77"/>
      <c r="Y31" s="77"/>
      <c r="Z31" s="77"/>
      <c r="AA31" s="77"/>
      <c r="AB31" s="77"/>
      <c r="AC31" s="77"/>
      <c r="AD31" s="77"/>
      <c r="BN31" s="77"/>
      <c r="BO31" s="77"/>
      <c r="BP31" s="77"/>
      <c r="BQ31" s="77"/>
      <c r="BR31" s="77"/>
      <c r="BS31" s="77"/>
      <c r="BT31" s="77"/>
      <c r="BU31" s="72"/>
    </row>
    <row r="32" spans="2:73" ht="19.5" x14ac:dyDescent="0.45">
      <c r="B32" s="69"/>
      <c r="C32" s="75"/>
      <c r="D32" s="78"/>
      <c r="F32" s="64" t="s">
        <v>257</v>
      </c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BN32" s="77"/>
      <c r="BO32" s="77"/>
      <c r="BP32" s="77"/>
      <c r="BQ32" s="77"/>
      <c r="BR32" s="77"/>
      <c r="BS32" s="77"/>
      <c r="BT32" s="77"/>
      <c r="BU32" s="72"/>
    </row>
    <row r="33" spans="2:82" ht="19.5" x14ac:dyDescent="0.45">
      <c r="B33" s="69"/>
      <c r="C33" s="75"/>
      <c r="D33" s="78"/>
      <c r="G33" s="80" t="s">
        <v>258</v>
      </c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BN33" s="77"/>
      <c r="BO33" s="77"/>
      <c r="BP33" s="77"/>
      <c r="BQ33" s="77"/>
      <c r="BR33" s="77"/>
      <c r="BS33" s="77"/>
      <c r="BT33" s="77"/>
      <c r="BU33" s="72"/>
    </row>
    <row r="34" spans="2:82" ht="19.5" x14ac:dyDescent="0.45">
      <c r="B34" s="69"/>
      <c r="C34" s="75"/>
      <c r="D34" s="78"/>
      <c r="G34" s="80" t="s">
        <v>323</v>
      </c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BN34" s="77"/>
      <c r="BO34" s="77"/>
      <c r="BP34" s="77"/>
      <c r="BQ34" s="77"/>
      <c r="BR34" s="77"/>
      <c r="BS34" s="77"/>
      <c r="BT34" s="77"/>
      <c r="BU34" s="72"/>
    </row>
    <row r="35" spans="2:82" ht="19.5" x14ac:dyDescent="0.45">
      <c r="B35" s="69"/>
      <c r="C35" s="75"/>
      <c r="D35" s="78"/>
      <c r="G35" s="80" t="s">
        <v>324</v>
      </c>
      <c r="H35" s="75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BN35" s="77"/>
      <c r="BO35" s="77"/>
      <c r="BP35" s="77"/>
      <c r="BQ35" s="77"/>
      <c r="BR35" s="77"/>
      <c r="BS35" s="77"/>
      <c r="BT35" s="77"/>
      <c r="BU35" s="72"/>
    </row>
    <row r="36" spans="2:82" ht="19.5" x14ac:dyDescent="0.45">
      <c r="B36" s="69"/>
      <c r="C36" s="75"/>
      <c r="D36" s="78"/>
      <c r="G36" s="76"/>
      <c r="H36" s="75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BN36" s="77"/>
      <c r="BO36" s="77"/>
      <c r="BP36" s="77"/>
      <c r="BQ36" s="77"/>
      <c r="BR36" s="77"/>
      <c r="BS36" s="77"/>
      <c r="BT36" s="77"/>
      <c r="BU36" s="72"/>
    </row>
    <row r="37" spans="2:82" ht="19.5" x14ac:dyDescent="0.45">
      <c r="B37" s="69"/>
      <c r="C37" s="75"/>
      <c r="D37" s="78"/>
      <c r="F37" s="64" t="s">
        <v>259</v>
      </c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BN37" s="77"/>
      <c r="BO37" s="77"/>
      <c r="BP37" s="77"/>
      <c r="BQ37" s="77"/>
      <c r="BR37" s="77"/>
      <c r="BS37" s="77"/>
      <c r="BT37" s="77"/>
      <c r="BU37" s="72"/>
    </row>
    <row r="38" spans="2:82" ht="19.5" x14ac:dyDescent="0.45">
      <c r="B38" s="69"/>
      <c r="C38" s="75"/>
      <c r="D38" s="78"/>
      <c r="G38" s="80" t="s">
        <v>358</v>
      </c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BN38" s="77"/>
      <c r="BO38" s="77"/>
      <c r="BP38" s="77"/>
      <c r="BQ38" s="77"/>
      <c r="BR38" s="77"/>
      <c r="BS38" s="77"/>
      <c r="BT38" s="77"/>
      <c r="BU38" s="72"/>
    </row>
    <row r="39" spans="2:82" ht="19.5" x14ac:dyDescent="0.45">
      <c r="B39" s="69"/>
      <c r="C39" s="75"/>
      <c r="D39" s="78"/>
      <c r="F39" s="75"/>
      <c r="G39" s="76"/>
      <c r="H39" s="75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BN39" s="77"/>
      <c r="BO39" s="77"/>
      <c r="BP39" s="77"/>
      <c r="BQ39" s="77"/>
      <c r="BR39" s="77"/>
      <c r="BS39" s="77"/>
      <c r="BT39" s="77"/>
      <c r="BU39" s="72"/>
    </row>
    <row r="40" spans="2:82" ht="19.5" x14ac:dyDescent="0.45">
      <c r="B40" s="69"/>
      <c r="C40" s="75"/>
      <c r="D40" s="78"/>
      <c r="F40" s="75"/>
      <c r="G40" s="121" t="s">
        <v>325</v>
      </c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7"/>
      <c r="BQ40" s="77"/>
      <c r="BR40" s="77"/>
      <c r="BS40" s="77"/>
      <c r="BT40" s="77"/>
      <c r="BU40" s="72"/>
    </row>
    <row r="41" spans="2:82" ht="19.5" x14ac:dyDescent="0.45">
      <c r="B41" s="69"/>
      <c r="C41" s="75"/>
      <c r="D41" s="78"/>
      <c r="F41" s="75"/>
      <c r="G41" s="121"/>
      <c r="H41" s="122" t="s">
        <v>326</v>
      </c>
      <c r="I41" s="123"/>
      <c r="J41" s="123"/>
      <c r="K41" s="123"/>
      <c r="L41" s="123"/>
      <c r="M41" s="123"/>
      <c r="N41" s="124"/>
      <c r="O41" s="125" t="s">
        <v>327</v>
      </c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7"/>
      <c r="BQ41" s="77"/>
      <c r="BR41" s="77"/>
      <c r="BS41" s="77"/>
      <c r="BT41" s="77"/>
      <c r="BU41" s="77"/>
      <c r="BV41" s="77"/>
      <c r="BW41" s="77"/>
      <c r="BX41" s="77"/>
      <c r="BY41" s="77"/>
      <c r="BZ41" s="77"/>
      <c r="CA41" s="77"/>
      <c r="CB41" s="77"/>
      <c r="CC41" s="77"/>
      <c r="CD41" s="77"/>
    </row>
    <row r="42" spans="2:82" ht="19.5" x14ac:dyDescent="0.45">
      <c r="B42" s="69"/>
      <c r="C42" s="75"/>
      <c r="D42" s="78"/>
      <c r="F42" s="75"/>
      <c r="G42" s="121"/>
      <c r="H42" s="122" t="s">
        <v>328</v>
      </c>
      <c r="I42" s="123"/>
      <c r="J42" s="123"/>
      <c r="K42" s="123"/>
      <c r="L42" s="123"/>
      <c r="M42" s="123"/>
      <c r="N42" s="124"/>
      <c r="O42" s="125" t="s">
        <v>329</v>
      </c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7"/>
      <c r="BQ42" s="77"/>
      <c r="BR42" s="77"/>
      <c r="BS42" s="77"/>
      <c r="BT42" s="77"/>
      <c r="BU42" s="77"/>
      <c r="BV42" s="77"/>
      <c r="BW42" s="77"/>
      <c r="BX42" s="77"/>
      <c r="BY42" s="77"/>
      <c r="BZ42" s="77"/>
      <c r="CA42" s="77"/>
      <c r="CB42" s="77"/>
      <c r="CC42" s="77"/>
      <c r="CD42" s="77"/>
    </row>
    <row r="43" spans="2:82" ht="19.5" x14ac:dyDescent="0.45">
      <c r="B43" s="69"/>
      <c r="C43" s="75"/>
      <c r="D43" s="78"/>
      <c r="F43" s="75"/>
      <c r="G43" s="121"/>
      <c r="H43" s="122" t="s">
        <v>330</v>
      </c>
      <c r="I43" s="123"/>
      <c r="J43" s="123"/>
      <c r="K43" s="123"/>
      <c r="L43" s="123"/>
      <c r="M43" s="123"/>
      <c r="N43" s="124"/>
      <c r="O43" s="125" t="s">
        <v>331</v>
      </c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7"/>
      <c r="BQ43" s="77"/>
      <c r="BR43" s="77"/>
      <c r="BS43" s="77"/>
      <c r="BT43" s="77"/>
      <c r="BU43" s="77"/>
      <c r="BV43" s="77"/>
      <c r="BW43" s="77"/>
      <c r="BX43" s="77"/>
      <c r="BY43" s="77"/>
      <c r="BZ43" s="77"/>
      <c r="CA43" s="77"/>
      <c r="CB43" s="77"/>
      <c r="CC43" s="77"/>
      <c r="CD43" s="77"/>
    </row>
    <row r="44" spans="2:82" ht="19.5" x14ac:dyDescent="0.45">
      <c r="B44" s="69"/>
      <c r="C44" s="75"/>
      <c r="D44" s="78"/>
      <c r="E44" s="75"/>
      <c r="F44" s="76"/>
      <c r="G44" s="75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7"/>
      <c r="BQ44" s="77"/>
      <c r="BR44" s="77"/>
      <c r="BS44" s="77"/>
      <c r="BT44" s="77"/>
      <c r="BU44" s="72"/>
    </row>
    <row r="45" spans="2:82" x14ac:dyDescent="0.45">
      <c r="B45" s="69"/>
      <c r="C45" s="75"/>
      <c r="D45" s="75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7"/>
      <c r="BQ45" s="77"/>
      <c r="BR45" s="77"/>
      <c r="BS45" s="77"/>
      <c r="BT45" s="77"/>
      <c r="BU45" s="72"/>
    </row>
    <row r="46" spans="2:82" x14ac:dyDescent="0.45">
      <c r="B46" s="69"/>
      <c r="C46" s="75"/>
      <c r="E46" s="120" t="s">
        <v>378</v>
      </c>
      <c r="F46" s="75"/>
      <c r="G46" s="75"/>
      <c r="H46" s="75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6"/>
      <c r="BC46" s="76"/>
      <c r="BD46" s="76"/>
      <c r="BE46" s="76"/>
      <c r="BF46" s="76"/>
      <c r="BG46" s="76"/>
      <c r="BH46" s="76"/>
      <c r="BI46" s="76"/>
      <c r="BJ46" s="76"/>
      <c r="BK46" s="76"/>
      <c r="BL46" s="76"/>
      <c r="BM46" s="76"/>
      <c r="BN46" s="76"/>
      <c r="BO46" s="76"/>
      <c r="BP46" s="76"/>
      <c r="BQ46" s="76"/>
      <c r="BR46" s="76"/>
      <c r="BS46" s="76"/>
      <c r="BT46" s="76"/>
      <c r="BU46" s="72"/>
    </row>
    <row r="47" spans="2:82" ht="19.5" x14ac:dyDescent="0.45">
      <c r="B47" s="69"/>
      <c r="C47" s="75"/>
      <c r="D47" s="75"/>
      <c r="E47" s="78"/>
      <c r="F47" s="92" t="s">
        <v>263</v>
      </c>
      <c r="G47" s="75"/>
      <c r="H47" s="75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93" t="s">
        <v>264</v>
      </c>
      <c r="AX47" s="94"/>
      <c r="AY47" s="94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4"/>
      <c r="BQ47" s="94"/>
      <c r="BR47" s="94"/>
      <c r="BS47" s="94"/>
      <c r="BT47" s="95"/>
      <c r="BU47" s="72"/>
    </row>
    <row r="48" spans="2:82" ht="19.5" x14ac:dyDescent="0.45">
      <c r="B48" s="69"/>
      <c r="C48" s="75"/>
      <c r="D48" s="75"/>
      <c r="E48" s="78"/>
      <c r="F48" s="75" t="s">
        <v>265</v>
      </c>
      <c r="G48" s="75"/>
      <c r="H48" s="75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96" t="s">
        <v>266</v>
      </c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8"/>
      <c r="BJ48" s="98"/>
      <c r="BK48" s="97"/>
      <c r="BL48" s="97"/>
      <c r="BM48" s="97"/>
      <c r="BN48" s="97"/>
      <c r="BO48" s="97"/>
      <c r="BP48" s="97"/>
      <c r="BQ48" s="97"/>
      <c r="BR48" s="97"/>
      <c r="BS48" s="97"/>
      <c r="BT48" s="99"/>
      <c r="BU48" s="72"/>
    </row>
    <row r="49" spans="2:73" ht="19.5" x14ac:dyDescent="0.45">
      <c r="B49" s="69"/>
      <c r="C49" s="75"/>
      <c r="D49" s="75"/>
      <c r="E49" s="78"/>
      <c r="F49" s="75"/>
      <c r="G49" s="75"/>
      <c r="H49" s="75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100" t="s">
        <v>267</v>
      </c>
      <c r="AX49" s="101"/>
      <c r="AY49" s="101"/>
      <c r="AZ49" s="102"/>
      <c r="BA49" s="102"/>
      <c r="BB49" s="102"/>
      <c r="BC49" s="102"/>
      <c r="BD49" s="102"/>
      <c r="BE49" s="102"/>
      <c r="BF49" s="102"/>
      <c r="BG49" s="102"/>
      <c r="BH49" s="102"/>
      <c r="BI49" s="103"/>
      <c r="BJ49" s="103"/>
      <c r="BK49" s="102"/>
      <c r="BL49" s="102"/>
      <c r="BM49" s="102"/>
      <c r="BN49" s="102"/>
      <c r="BO49" s="102"/>
      <c r="BP49" s="102"/>
      <c r="BQ49" s="102"/>
      <c r="BR49" s="102"/>
      <c r="BS49" s="102"/>
      <c r="BT49" s="104"/>
      <c r="BU49" s="72"/>
    </row>
    <row r="50" spans="2:73" ht="19.5" x14ac:dyDescent="0.45">
      <c r="B50" s="69"/>
      <c r="C50" s="75"/>
      <c r="D50" s="75"/>
      <c r="E50" s="78"/>
      <c r="F50" s="75" t="s">
        <v>366</v>
      </c>
      <c r="G50" s="75"/>
      <c r="H50" s="75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105"/>
      <c r="AX50" s="106" t="s">
        <v>268</v>
      </c>
      <c r="AY50" s="107"/>
      <c r="AZ50" s="107"/>
      <c r="BA50" s="107"/>
      <c r="BB50" s="107"/>
      <c r="BC50" s="107"/>
      <c r="BD50" s="107"/>
      <c r="BE50" s="107"/>
      <c r="BF50" s="107"/>
      <c r="BG50" s="107"/>
      <c r="BH50" s="107"/>
      <c r="BI50" s="107"/>
      <c r="BJ50" s="107"/>
      <c r="BK50" s="107"/>
      <c r="BL50" s="107"/>
      <c r="BM50" s="107"/>
      <c r="BN50" s="107"/>
      <c r="BO50" s="107"/>
      <c r="BP50" s="107"/>
      <c r="BQ50" s="107"/>
      <c r="BR50" s="107"/>
      <c r="BS50" s="107"/>
      <c r="BT50" s="108"/>
      <c r="BU50" s="72"/>
    </row>
    <row r="51" spans="2:73" ht="19.5" x14ac:dyDescent="0.45">
      <c r="B51" s="69"/>
      <c r="C51" s="75"/>
      <c r="D51" s="75"/>
      <c r="E51" s="78"/>
      <c r="F51" s="131" t="s">
        <v>269</v>
      </c>
      <c r="G51" s="132"/>
      <c r="H51" s="132"/>
      <c r="I51" s="133"/>
      <c r="J51" s="134"/>
      <c r="K51" s="135" t="s">
        <v>270</v>
      </c>
      <c r="L51" s="133"/>
      <c r="M51" s="133"/>
      <c r="N51" s="133"/>
      <c r="O51" s="133"/>
      <c r="P51" s="133"/>
      <c r="Q51" s="133"/>
      <c r="R51" s="134"/>
      <c r="S51" s="76"/>
      <c r="T51" s="76"/>
      <c r="U51" s="76"/>
      <c r="V51" s="76"/>
      <c r="W51" s="76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76"/>
      <c r="BU51" s="72"/>
    </row>
    <row r="52" spans="2:73" ht="19.5" x14ac:dyDescent="0.45">
      <c r="B52" s="69"/>
      <c r="C52" s="75"/>
      <c r="D52" s="75"/>
      <c r="E52" s="78"/>
      <c r="F52" s="75" t="s">
        <v>271</v>
      </c>
      <c r="G52" s="75"/>
      <c r="H52" s="75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7"/>
      <c r="AB52" s="77"/>
      <c r="AC52" s="77"/>
      <c r="AD52" s="77"/>
      <c r="AE52" s="77"/>
      <c r="AF52" s="77"/>
      <c r="AG52" s="76"/>
      <c r="AH52" s="76"/>
      <c r="AI52" s="77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6"/>
      <c r="BU52" s="72"/>
    </row>
    <row r="53" spans="2:73" ht="19.5" x14ac:dyDescent="0.45">
      <c r="B53" s="69"/>
      <c r="C53" s="75"/>
      <c r="D53" s="75"/>
      <c r="E53" s="78"/>
      <c r="F53" s="109" t="s">
        <v>367</v>
      </c>
      <c r="G53" s="110"/>
      <c r="H53" s="110"/>
      <c r="I53" s="110"/>
      <c r="J53" s="110"/>
      <c r="K53" s="110"/>
      <c r="L53" s="109" t="s">
        <v>272</v>
      </c>
      <c r="M53" s="110"/>
      <c r="N53" s="110"/>
      <c r="O53" s="111"/>
      <c r="P53" s="111"/>
      <c r="Q53" s="112"/>
      <c r="R53" s="109" t="s">
        <v>273</v>
      </c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3" t="s">
        <v>4</v>
      </c>
      <c r="AJ53" s="111"/>
      <c r="AK53" s="111"/>
      <c r="AL53" s="111"/>
      <c r="AM53" s="111"/>
      <c r="AN53" s="114"/>
      <c r="AO53" s="114"/>
      <c r="AP53" s="111"/>
      <c r="AQ53" s="115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2"/>
    </row>
    <row r="54" spans="2:73" ht="19.5" x14ac:dyDescent="0.45">
      <c r="B54" s="69"/>
      <c r="C54" s="75"/>
      <c r="D54" s="76"/>
      <c r="E54" s="78"/>
      <c r="F54" s="135" t="s">
        <v>368</v>
      </c>
      <c r="G54" s="133"/>
      <c r="H54" s="133"/>
      <c r="I54" s="133"/>
      <c r="J54" s="133"/>
      <c r="K54" s="133"/>
      <c r="L54" s="136" t="s">
        <v>369</v>
      </c>
      <c r="M54" s="136"/>
      <c r="N54" s="137"/>
      <c r="O54" s="138"/>
      <c r="P54" s="138"/>
      <c r="Q54" s="139"/>
      <c r="R54" s="135" t="s">
        <v>370</v>
      </c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40" t="s">
        <v>274</v>
      </c>
      <c r="AJ54" s="138"/>
      <c r="AK54" s="138"/>
      <c r="AL54" s="138"/>
      <c r="AM54" s="138"/>
      <c r="AN54" s="107"/>
      <c r="AO54" s="107"/>
      <c r="AP54" s="138"/>
      <c r="AQ54" s="108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2"/>
    </row>
    <row r="55" spans="2:73" ht="19.5" x14ac:dyDescent="0.45">
      <c r="B55" s="69"/>
      <c r="C55" s="75"/>
      <c r="D55" s="76"/>
      <c r="E55" s="78"/>
      <c r="F55" s="135" t="s">
        <v>371</v>
      </c>
      <c r="G55" s="133"/>
      <c r="H55" s="133"/>
      <c r="I55" s="133"/>
      <c r="J55" s="133"/>
      <c r="K55" s="133"/>
      <c r="L55" s="137" t="s">
        <v>275</v>
      </c>
      <c r="M55" s="106"/>
      <c r="N55" s="106"/>
      <c r="O55" s="138"/>
      <c r="P55" s="138"/>
      <c r="Q55" s="139"/>
      <c r="R55" s="135" t="s">
        <v>372</v>
      </c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7"/>
      <c r="AJ55" s="138"/>
      <c r="AK55" s="106"/>
      <c r="AL55" s="138"/>
      <c r="AM55" s="138"/>
      <c r="AN55" s="107"/>
      <c r="AO55" s="107"/>
      <c r="AP55" s="138"/>
      <c r="AQ55" s="108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76"/>
      <c r="BU55" s="72"/>
    </row>
    <row r="56" spans="2:73" ht="19.5" x14ac:dyDescent="0.45">
      <c r="B56" s="69"/>
      <c r="C56" s="75"/>
      <c r="D56" s="76"/>
      <c r="E56" s="78"/>
      <c r="F56" s="75" t="s">
        <v>276</v>
      </c>
      <c r="G56" s="75"/>
      <c r="H56" s="75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7"/>
      <c r="Y56" s="77"/>
      <c r="AI56" s="77"/>
      <c r="AJ56" s="76"/>
      <c r="AK56" s="76"/>
      <c r="AS56" s="77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6"/>
      <c r="BU56" s="72"/>
    </row>
    <row r="57" spans="2:73" ht="19.5" x14ac:dyDescent="0.45">
      <c r="B57" s="69"/>
      <c r="C57" s="75"/>
      <c r="D57" s="76"/>
      <c r="E57" s="78"/>
      <c r="F57" s="109" t="s">
        <v>373</v>
      </c>
      <c r="G57" s="116"/>
      <c r="H57" s="116"/>
      <c r="I57" s="116"/>
      <c r="J57" s="116"/>
      <c r="K57" s="116"/>
      <c r="L57" s="117"/>
      <c r="M57" s="109" t="s">
        <v>272</v>
      </c>
      <c r="N57" s="116"/>
      <c r="O57" s="111"/>
      <c r="P57" s="111"/>
      <c r="Q57" s="116"/>
      <c r="R57" s="116"/>
      <c r="S57" s="116"/>
      <c r="T57" s="117"/>
      <c r="U57" s="109" t="s">
        <v>273</v>
      </c>
      <c r="V57" s="116"/>
      <c r="W57" s="116"/>
      <c r="X57" s="116"/>
      <c r="Y57" s="118"/>
      <c r="Z57" s="113" t="s">
        <v>4</v>
      </c>
      <c r="AA57" s="111"/>
      <c r="AB57" s="111"/>
      <c r="AC57" s="111"/>
      <c r="AD57" s="111"/>
      <c r="AE57" s="111"/>
      <c r="AF57" s="111"/>
      <c r="AG57" s="111"/>
      <c r="AH57" s="118"/>
      <c r="AI57" s="77"/>
      <c r="AJ57" s="76"/>
      <c r="AK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/>
      <c r="BQ57" s="76"/>
      <c r="BR57" s="76"/>
      <c r="BS57" s="76"/>
      <c r="BT57" s="76"/>
      <c r="BU57" s="72"/>
    </row>
    <row r="58" spans="2:73" ht="19.5" x14ac:dyDescent="0.45">
      <c r="B58" s="69"/>
      <c r="C58" s="75"/>
      <c r="D58" s="76"/>
      <c r="E58" s="78"/>
      <c r="F58" s="141" t="s">
        <v>277</v>
      </c>
      <c r="G58" s="142"/>
      <c r="H58" s="142"/>
      <c r="I58" s="142"/>
      <c r="J58" s="142"/>
      <c r="K58" s="142"/>
      <c r="L58" s="142"/>
      <c r="M58" s="141" t="s">
        <v>278</v>
      </c>
      <c r="N58" s="142"/>
      <c r="O58" s="142"/>
      <c r="P58" s="142"/>
      <c r="Q58" s="142"/>
      <c r="R58" s="142"/>
      <c r="S58" s="142"/>
      <c r="T58" s="143"/>
      <c r="U58" s="141" t="s">
        <v>279</v>
      </c>
      <c r="V58" s="142"/>
      <c r="W58" s="142"/>
      <c r="X58" s="142"/>
      <c r="Y58" s="143"/>
      <c r="Z58" s="142"/>
      <c r="AA58" s="142"/>
      <c r="AB58" s="142"/>
      <c r="AC58" s="142"/>
      <c r="AD58" s="142"/>
      <c r="AE58" s="142"/>
      <c r="AF58" s="142"/>
      <c r="AG58" s="142"/>
      <c r="AH58" s="143"/>
      <c r="AI58" s="77"/>
      <c r="AJ58" s="76"/>
      <c r="AK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72"/>
    </row>
    <row r="59" spans="2:73" ht="19.5" x14ac:dyDescent="0.45">
      <c r="B59" s="69"/>
      <c r="C59" s="75"/>
      <c r="D59" s="76"/>
      <c r="E59" s="78"/>
      <c r="F59" s="64" t="s">
        <v>280</v>
      </c>
      <c r="AI59" s="77"/>
      <c r="AJ59" s="76"/>
      <c r="AK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76"/>
      <c r="BS59" s="76"/>
      <c r="BT59" s="76"/>
      <c r="BU59" s="72"/>
    </row>
    <row r="60" spans="2:73" ht="19.5" x14ac:dyDescent="0.45">
      <c r="B60" s="69"/>
      <c r="C60" s="75"/>
      <c r="D60" s="76"/>
      <c r="E60" s="78"/>
      <c r="F60" s="109" t="s">
        <v>373</v>
      </c>
      <c r="G60" s="116"/>
      <c r="H60" s="116"/>
      <c r="I60" s="116"/>
      <c r="J60" s="116"/>
      <c r="K60" s="116"/>
      <c r="L60" s="117"/>
      <c r="M60" s="109" t="s">
        <v>272</v>
      </c>
      <c r="N60" s="116"/>
      <c r="O60" s="111"/>
      <c r="P60" s="111"/>
      <c r="Q60" s="116"/>
      <c r="R60" s="116"/>
      <c r="S60" s="116"/>
      <c r="T60" s="117"/>
      <c r="U60" s="109" t="s">
        <v>273</v>
      </c>
      <c r="V60" s="116"/>
      <c r="W60" s="116"/>
      <c r="X60" s="116"/>
      <c r="Y60" s="118"/>
      <c r="Z60" s="113" t="s">
        <v>4</v>
      </c>
      <c r="AA60" s="111"/>
      <c r="AB60" s="111"/>
      <c r="AC60" s="111"/>
      <c r="AD60" s="111"/>
      <c r="AE60" s="111"/>
      <c r="AF60" s="111"/>
      <c r="AG60" s="111"/>
      <c r="AH60" s="118"/>
      <c r="AI60" s="77"/>
      <c r="AJ60" s="76"/>
      <c r="AK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2"/>
    </row>
    <row r="61" spans="2:73" ht="19.5" x14ac:dyDescent="0.45">
      <c r="B61" s="69"/>
      <c r="C61" s="75"/>
      <c r="D61" s="76"/>
      <c r="E61" s="78"/>
      <c r="F61" s="141" t="s">
        <v>199</v>
      </c>
      <c r="G61" s="142"/>
      <c r="H61" s="142"/>
      <c r="I61" s="142"/>
      <c r="J61" s="142"/>
      <c r="K61" s="142"/>
      <c r="L61" s="142"/>
      <c r="M61" s="141" t="s">
        <v>374</v>
      </c>
      <c r="N61" s="142"/>
      <c r="O61" s="142"/>
      <c r="P61" s="142"/>
      <c r="Q61" s="142"/>
      <c r="R61" s="142"/>
      <c r="S61" s="142"/>
      <c r="T61" s="143"/>
      <c r="U61" s="144" t="s">
        <v>281</v>
      </c>
      <c r="V61" s="142"/>
      <c r="W61" s="142"/>
      <c r="X61" s="142"/>
      <c r="Y61" s="143"/>
      <c r="Z61" s="142"/>
      <c r="AA61" s="142"/>
      <c r="AB61" s="142"/>
      <c r="AC61" s="142"/>
      <c r="AD61" s="142"/>
      <c r="AE61" s="142"/>
      <c r="AF61" s="142"/>
      <c r="AG61" s="142"/>
      <c r="AH61" s="143"/>
      <c r="AI61" s="77"/>
      <c r="AJ61" s="76"/>
      <c r="AK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2"/>
    </row>
    <row r="62" spans="2:73" ht="19.5" x14ac:dyDescent="0.45">
      <c r="B62" s="69"/>
      <c r="C62" s="75"/>
      <c r="D62" s="76"/>
      <c r="E62" s="78"/>
      <c r="AI62" s="77"/>
      <c r="AJ62" s="76"/>
      <c r="AK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72"/>
    </row>
    <row r="63" spans="2:73" ht="19.5" x14ac:dyDescent="0.45">
      <c r="B63" s="69"/>
      <c r="C63" s="75"/>
      <c r="D63" s="76"/>
      <c r="E63" s="78"/>
      <c r="F63" s="64" t="s">
        <v>375</v>
      </c>
      <c r="AI63" s="77"/>
      <c r="AJ63" s="76"/>
      <c r="AK63" s="76"/>
      <c r="AV63" s="76"/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  <c r="BM63" s="76"/>
      <c r="BN63" s="76"/>
      <c r="BO63" s="76"/>
      <c r="BP63" s="76"/>
      <c r="BQ63" s="76"/>
      <c r="BR63" s="76"/>
      <c r="BS63" s="76"/>
      <c r="BT63" s="76"/>
      <c r="BU63" s="72"/>
    </row>
    <row r="64" spans="2:73" ht="19.5" x14ac:dyDescent="0.45">
      <c r="B64" s="69"/>
      <c r="C64" s="75"/>
      <c r="D64" s="76"/>
      <c r="E64" s="78"/>
      <c r="F64" s="109" t="s">
        <v>376</v>
      </c>
      <c r="G64" s="116"/>
      <c r="H64" s="116"/>
      <c r="I64" s="116"/>
      <c r="J64" s="116"/>
      <c r="K64" s="116"/>
      <c r="L64" s="117"/>
      <c r="M64" s="109" t="s">
        <v>272</v>
      </c>
      <c r="N64" s="116"/>
      <c r="O64" s="111"/>
      <c r="P64" s="111"/>
      <c r="Q64" s="116"/>
      <c r="R64" s="116"/>
      <c r="S64" s="116"/>
      <c r="T64" s="117"/>
      <c r="U64" s="109" t="s">
        <v>273</v>
      </c>
      <c r="V64" s="116"/>
      <c r="W64" s="116"/>
      <c r="X64" s="116"/>
      <c r="Y64" s="116"/>
      <c r="Z64" s="116"/>
      <c r="AA64" s="116"/>
      <c r="AB64" s="116"/>
      <c r="AC64" s="116"/>
      <c r="AD64" s="116"/>
      <c r="AE64" s="116"/>
      <c r="AF64" s="116"/>
      <c r="AG64" s="116"/>
      <c r="AH64" s="116"/>
      <c r="AI64" s="116"/>
      <c r="AJ64" s="117"/>
      <c r="AK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  <c r="BU64" s="72"/>
    </row>
    <row r="65" spans="2:73" ht="19.5" x14ac:dyDescent="0.45">
      <c r="B65" s="69"/>
      <c r="C65" s="75"/>
      <c r="D65" s="76"/>
      <c r="E65" s="78"/>
      <c r="F65" s="141" t="s">
        <v>203</v>
      </c>
      <c r="G65" s="142"/>
      <c r="H65" s="142"/>
      <c r="I65" s="142"/>
      <c r="J65" s="142"/>
      <c r="K65" s="142"/>
      <c r="L65" s="143"/>
      <c r="M65" s="142" t="s">
        <v>282</v>
      </c>
      <c r="N65" s="142"/>
      <c r="O65" s="142"/>
      <c r="P65" s="142"/>
      <c r="Q65" s="142"/>
      <c r="R65" s="142"/>
      <c r="S65" s="142"/>
      <c r="T65" s="143"/>
      <c r="U65" s="145" t="s">
        <v>377</v>
      </c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46"/>
      <c r="AK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6"/>
      <c r="BU65" s="72"/>
    </row>
    <row r="66" spans="2:73" ht="19.5" x14ac:dyDescent="0.45">
      <c r="B66" s="69"/>
      <c r="C66" s="75"/>
      <c r="D66" s="76"/>
      <c r="E66" s="78"/>
      <c r="AI66" s="77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76"/>
      <c r="BU66" s="72"/>
    </row>
    <row r="67" spans="2:73" ht="19.5" x14ac:dyDescent="0.45">
      <c r="B67" s="69"/>
      <c r="C67" s="75"/>
      <c r="D67" s="76"/>
      <c r="E67" s="78"/>
      <c r="AI67" s="77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6"/>
      <c r="BP67" s="76"/>
      <c r="BQ67" s="76"/>
      <c r="BR67" s="76"/>
      <c r="BS67" s="76"/>
      <c r="BT67" s="76"/>
      <c r="BU67" s="72"/>
    </row>
    <row r="68" spans="2:73" x14ac:dyDescent="0.45">
      <c r="B68" s="69"/>
      <c r="C68" s="75"/>
      <c r="D68" s="75"/>
      <c r="E68" s="120" t="s">
        <v>379</v>
      </c>
      <c r="F68" s="76"/>
      <c r="G68" s="75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7"/>
      <c r="BA68" s="77"/>
      <c r="BB68" s="77"/>
      <c r="BC68" s="77"/>
      <c r="BD68" s="77"/>
      <c r="BE68" s="77"/>
      <c r="BF68" s="77"/>
      <c r="BG68" s="77"/>
      <c r="BH68" s="77"/>
      <c r="BI68" s="77"/>
      <c r="BJ68" s="77"/>
      <c r="BK68" s="77"/>
      <c r="BL68" s="77"/>
      <c r="BM68" s="77"/>
      <c r="BN68" s="77"/>
      <c r="BO68" s="77"/>
      <c r="BP68" s="77"/>
      <c r="BQ68" s="77"/>
      <c r="BR68" s="77"/>
      <c r="BS68" s="77"/>
      <c r="BT68" s="77"/>
      <c r="BU68" s="72"/>
    </row>
    <row r="69" spans="2:73" x14ac:dyDescent="0.45">
      <c r="B69" s="69"/>
      <c r="C69" s="75"/>
      <c r="D69" s="75"/>
      <c r="E69" s="75"/>
      <c r="F69" s="80" t="s">
        <v>256</v>
      </c>
      <c r="G69" s="76"/>
      <c r="H69" s="75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  <c r="BI69" s="77"/>
      <c r="BJ69" s="77"/>
      <c r="BK69" s="77"/>
      <c r="BL69" s="77"/>
      <c r="BM69" s="77"/>
      <c r="BN69" s="77"/>
      <c r="BO69" s="77"/>
      <c r="BP69" s="77"/>
      <c r="BQ69" s="77"/>
      <c r="BR69" s="77"/>
      <c r="BS69" s="77"/>
      <c r="BT69" s="77"/>
      <c r="BU69" s="72"/>
    </row>
    <row r="70" spans="2:73" x14ac:dyDescent="0.45">
      <c r="B70" s="69"/>
      <c r="C70" s="75"/>
      <c r="D70" s="75"/>
      <c r="G70" s="76"/>
      <c r="H70" s="75" t="s">
        <v>250</v>
      </c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  <c r="BF70" s="77"/>
      <c r="BG70" s="77"/>
      <c r="BH70" s="77"/>
      <c r="BI70" s="77"/>
      <c r="BJ70" s="77"/>
      <c r="BK70" s="77"/>
      <c r="BL70" s="77"/>
      <c r="BM70" s="77"/>
      <c r="BN70" s="77"/>
      <c r="BO70" s="77"/>
      <c r="BP70" s="77"/>
      <c r="BQ70" s="77"/>
      <c r="BR70" s="77"/>
      <c r="BS70" s="77"/>
      <c r="BT70" s="77"/>
      <c r="BU70" s="72"/>
    </row>
    <row r="71" spans="2:73" x14ac:dyDescent="0.45">
      <c r="B71" s="69"/>
      <c r="C71" s="75"/>
      <c r="D71" s="75"/>
      <c r="F71" s="80" t="s">
        <v>380</v>
      </c>
      <c r="G71" s="76"/>
      <c r="H71" s="75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77"/>
      <c r="BI71" s="77"/>
      <c r="BJ71" s="77"/>
      <c r="BK71" s="77"/>
      <c r="BL71" s="77"/>
      <c r="BM71" s="77"/>
      <c r="BN71" s="77"/>
      <c r="BO71" s="77"/>
      <c r="BP71" s="77"/>
      <c r="BQ71" s="77"/>
      <c r="BR71" s="77"/>
      <c r="BS71" s="77"/>
      <c r="BT71" s="77"/>
      <c r="BU71" s="72"/>
    </row>
    <row r="72" spans="2:73" x14ac:dyDescent="0.45">
      <c r="B72" s="69"/>
      <c r="C72" s="75"/>
      <c r="D72" s="75"/>
      <c r="G72" s="76"/>
      <c r="H72" s="75" t="s">
        <v>251</v>
      </c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77"/>
      <c r="BI72" s="77"/>
      <c r="BJ72" s="77"/>
      <c r="BK72" s="77"/>
      <c r="BL72" s="77"/>
      <c r="BM72" s="77"/>
      <c r="BN72" s="77"/>
      <c r="BO72" s="77"/>
      <c r="BP72" s="77"/>
      <c r="BQ72" s="77"/>
      <c r="BR72" s="77"/>
      <c r="BS72" s="77"/>
      <c r="BT72" s="77"/>
      <c r="BU72" s="72"/>
    </row>
    <row r="73" spans="2:73" ht="19.5" x14ac:dyDescent="0.45">
      <c r="B73" s="69"/>
      <c r="C73" s="75"/>
      <c r="D73" s="76"/>
      <c r="E73" s="78"/>
      <c r="AI73" s="77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6"/>
      <c r="BT73" s="76"/>
      <c r="BU73" s="72"/>
    </row>
    <row r="74" spans="2:73" ht="19.5" x14ac:dyDescent="0.45">
      <c r="B74" s="69"/>
      <c r="C74" s="75"/>
      <c r="D74" s="76"/>
      <c r="E74" s="78"/>
      <c r="AI74" s="77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6"/>
      <c r="BJ74" s="76"/>
      <c r="BK74" s="76"/>
      <c r="BL74" s="76"/>
      <c r="BM74" s="76"/>
      <c r="BN74" s="76"/>
      <c r="BO74" s="76"/>
      <c r="BP74" s="76"/>
      <c r="BQ74" s="76"/>
      <c r="BR74" s="76"/>
      <c r="BS74" s="76"/>
      <c r="BT74" s="76"/>
      <c r="BU74" s="72"/>
    </row>
    <row r="75" spans="2:73" ht="19.5" x14ac:dyDescent="0.45">
      <c r="B75" s="69"/>
      <c r="C75" s="75"/>
      <c r="D75" s="78" t="s">
        <v>322</v>
      </c>
      <c r="F75" s="75"/>
      <c r="G75" s="75"/>
      <c r="H75" s="75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76"/>
      <c r="BC75" s="76"/>
      <c r="BD75" s="76"/>
      <c r="BE75" s="76"/>
      <c r="BF75" s="76"/>
      <c r="BG75" s="76"/>
      <c r="BH75" s="76"/>
      <c r="BI75" s="76"/>
      <c r="BJ75" s="76"/>
      <c r="BK75" s="76"/>
      <c r="BL75" s="76"/>
      <c r="BM75" s="76"/>
      <c r="BN75" s="76"/>
      <c r="BO75" s="76"/>
      <c r="BP75" s="76"/>
      <c r="BQ75" s="76"/>
      <c r="BR75" s="76"/>
      <c r="BS75" s="76"/>
      <c r="BT75" s="76"/>
      <c r="BU75" s="72"/>
    </row>
    <row r="76" spans="2:73" x14ac:dyDescent="0.45">
      <c r="B76" s="69"/>
      <c r="C76" s="75"/>
      <c r="E76" s="75"/>
      <c r="F76" s="80" t="s">
        <v>321</v>
      </c>
      <c r="G76" s="75"/>
      <c r="H76" s="75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76"/>
      <c r="BR76" s="76"/>
      <c r="BS76" s="76"/>
      <c r="BT76" s="76"/>
      <c r="BU76" s="72"/>
    </row>
    <row r="77" spans="2:73" ht="19.5" x14ac:dyDescent="0.45">
      <c r="B77" s="69"/>
      <c r="C77" s="75"/>
      <c r="D77" s="78"/>
      <c r="E77" s="75"/>
      <c r="F77" s="130" t="s">
        <v>357</v>
      </c>
      <c r="G77" s="75"/>
      <c r="H77" s="75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  <c r="BM77" s="76"/>
      <c r="BN77" s="76"/>
      <c r="BO77" s="76"/>
      <c r="BP77" s="76"/>
      <c r="BQ77" s="76"/>
      <c r="BR77" s="76"/>
      <c r="BS77" s="76"/>
      <c r="BT77" s="76"/>
      <c r="BU77" s="72"/>
    </row>
    <row r="78" spans="2:73" ht="19.5" x14ac:dyDescent="0.45">
      <c r="B78" s="69"/>
      <c r="C78" s="75"/>
      <c r="D78" s="78"/>
      <c r="E78" s="75"/>
      <c r="F78" s="119"/>
      <c r="G78" s="75"/>
      <c r="H78" s="75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6"/>
      <c r="BU78" s="72"/>
    </row>
    <row r="79" spans="2:73" ht="19.5" x14ac:dyDescent="0.45">
      <c r="B79" s="69"/>
      <c r="C79" s="75"/>
      <c r="D79" s="78" t="s">
        <v>283</v>
      </c>
      <c r="E79" s="75"/>
      <c r="F79" s="119"/>
      <c r="G79" s="75"/>
      <c r="H79" s="75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6"/>
      <c r="BP79" s="76"/>
      <c r="BQ79" s="76"/>
      <c r="BR79" s="76"/>
      <c r="BS79" s="76"/>
      <c r="BT79" s="76"/>
      <c r="BU79" s="72"/>
    </row>
    <row r="80" spans="2:73" x14ac:dyDescent="0.45">
      <c r="B80" s="69"/>
      <c r="C80" s="75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/>
      <c r="BP80" s="76"/>
      <c r="BQ80" s="76"/>
      <c r="BR80" s="76"/>
      <c r="BS80" s="76"/>
      <c r="BT80" s="76"/>
      <c r="BU80" s="72"/>
    </row>
    <row r="81" spans="2:73" x14ac:dyDescent="0.45">
      <c r="B81" s="69"/>
      <c r="C81" s="75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76"/>
      <c r="BR81" s="76"/>
      <c r="BS81" s="76"/>
      <c r="BT81" s="76"/>
      <c r="BU81" s="72"/>
    </row>
    <row r="82" spans="2:73" x14ac:dyDescent="0.45">
      <c r="B82" s="69"/>
      <c r="C82" s="75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76"/>
      <c r="BR82" s="76"/>
      <c r="BS82" s="76"/>
      <c r="BT82" s="76"/>
      <c r="BU82" s="72"/>
    </row>
    <row r="83" spans="2:73" x14ac:dyDescent="0.45">
      <c r="B83" s="81"/>
      <c r="C83" s="82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4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83"/>
      <c r="AT83" s="83"/>
      <c r="AU83" s="83"/>
      <c r="AV83" s="83"/>
      <c r="AW83" s="83"/>
      <c r="AX83" s="83"/>
      <c r="AY83" s="83"/>
      <c r="AZ83" s="83"/>
      <c r="BA83" s="83"/>
      <c r="BB83" s="83"/>
      <c r="BC83" s="83"/>
      <c r="BD83" s="83"/>
      <c r="BE83" s="83"/>
      <c r="BF83" s="83"/>
      <c r="BG83" s="83"/>
      <c r="BH83" s="83"/>
      <c r="BI83" s="83"/>
      <c r="BJ83" s="83"/>
      <c r="BK83" s="83"/>
      <c r="BL83" s="83"/>
      <c r="BM83" s="83"/>
      <c r="BN83" s="83"/>
      <c r="BO83" s="83"/>
      <c r="BP83" s="83"/>
      <c r="BQ83" s="83"/>
      <c r="BR83" s="83"/>
      <c r="BS83" s="83"/>
      <c r="BT83" s="83"/>
      <c r="BU83" s="85"/>
    </row>
  </sheetData>
  <mergeCells count="10">
    <mergeCell ref="BK1:BN2"/>
    <mergeCell ref="BO1:BU2"/>
    <mergeCell ref="BC2:BE2"/>
    <mergeCell ref="BF2:BJ2"/>
    <mergeCell ref="B1:F2"/>
    <mergeCell ref="G1:P2"/>
    <mergeCell ref="Q1:U2"/>
    <mergeCell ref="V1:BB2"/>
    <mergeCell ref="BC1:BE1"/>
    <mergeCell ref="BF1:BJ1"/>
  </mergeCells>
  <phoneticPr fontId="3"/>
  <conditionalFormatting sqref="E68">
    <cfRule type="duplicateValues" dxfId="1" priority="2"/>
  </conditionalFormatting>
  <conditionalFormatting sqref="E46">
    <cfRule type="duplicateValues" dxfId="0" priority="1"/>
  </conditionalFormatting>
  <pageMargins left="0.25" right="0.25" top="0.75" bottom="0.75" header="0.3" footer="0.3"/>
  <pageSetup paperSize="9" scale="3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3"/>
    <pageSetUpPr fitToPage="1"/>
  </sheetPr>
  <dimension ref="A1:T30"/>
  <sheetViews>
    <sheetView showGridLines="0" tabSelected="1" zoomScale="80" zoomScaleNormal="80" workbookViewId="0">
      <pane xSplit="3" ySplit="8" topLeftCell="D19" activePane="bottomRight" state="frozen"/>
      <selection pane="topRight" activeCell="C1" sqref="C1"/>
      <selection pane="bottomLeft" activeCell="A4" sqref="A4"/>
      <selection pane="bottomRight" sqref="A1:B1"/>
    </sheetView>
  </sheetViews>
  <sheetFormatPr defaultColWidth="9" defaultRowHeight="14.25" x14ac:dyDescent="0.15"/>
  <cols>
    <col min="1" max="1" width="9" style="9" customWidth="1"/>
    <col min="2" max="2" width="23.5" style="9" customWidth="1"/>
    <col min="3" max="3" width="34.875" style="9" customWidth="1"/>
    <col min="4" max="4" width="5.875" style="9" customWidth="1"/>
    <col min="5" max="5" width="7.625" style="9" customWidth="1"/>
    <col min="6" max="6" width="4.875" style="10" bestFit="1" customWidth="1"/>
    <col min="7" max="7" width="4.875" style="10" customWidth="1"/>
    <col min="8" max="8" width="18.625" style="11" customWidth="1"/>
    <col min="9" max="9" width="43.75" style="8" bestFit="1" customWidth="1"/>
    <col min="10" max="10" width="4.5" style="10" customWidth="1"/>
    <col min="11" max="11" width="19.875" style="9" customWidth="1"/>
    <col min="12" max="12" width="24.5" style="9" customWidth="1"/>
    <col min="13" max="13" width="5.875" style="9" customWidth="1"/>
    <col min="14" max="14" width="12" style="9" customWidth="1"/>
    <col min="15" max="16" width="4.875" style="10" bestFit="1" customWidth="1"/>
    <col min="17" max="17" width="17.875" style="9" customWidth="1"/>
    <col min="18" max="18" width="8" style="8" bestFit="1" customWidth="1"/>
    <col min="19" max="19" width="31" style="9" customWidth="1"/>
    <col min="20" max="20" width="16.125" style="9" customWidth="1"/>
    <col min="21" max="16384" width="9" style="9"/>
  </cols>
  <sheetData>
    <row r="1" spans="1:20" s="1" customFormat="1" ht="26.25" customHeight="1" x14ac:dyDescent="0.15">
      <c r="A1" s="164" t="s">
        <v>34</v>
      </c>
      <c r="B1" s="164"/>
      <c r="C1" s="24"/>
      <c r="D1" s="24"/>
      <c r="E1" s="24"/>
      <c r="F1" s="56"/>
      <c r="G1" s="56"/>
      <c r="H1" s="24"/>
      <c r="I1" s="24"/>
      <c r="J1" s="56"/>
      <c r="K1" s="24"/>
      <c r="L1" s="24"/>
      <c r="M1" s="24"/>
      <c r="N1" s="24"/>
      <c r="O1" s="56"/>
      <c r="P1" s="56"/>
      <c r="Q1" s="24"/>
      <c r="T1" s="17" t="str">
        <f>"Ver. " &amp; SysVersion</f>
        <v>Ver. 0.9.2.2</v>
      </c>
    </row>
    <row r="2" spans="1:20" s="1" customFormat="1" ht="26.25" customHeight="1" x14ac:dyDescent="0.15">
      <c r="A2" s="25" t="s">
        <v>44</v>
      </c>
      <c r="B2" s="40" t="s">
        <v>193</v>
      </c>
      <c r="C2" s="24"/>
      <c r="F2" s="16"/>
      <c r="G2" s="16"/>
      <c r="H2" s="18"/>
      <c r="J2" s="16"/>
      <c r="O2" s="57"/>
      <c r="P2" s="16"/>
      <c r="R2" s="19"/>
    </row>
    <row r="3" spans="1:20" s="1" customFormat="1" ht="26.25" customHeight="1" x14ac:dyDescent="0.25">
      <c r="A3" s="27" t="s">
        <v>45</v>
      </c>
      <c r="B3" s="40" t="s">
        <v>194</v>
      </c>
      <c r="C3" s="24"/>
      <c r="D3" s="28"/>
      <c r="F3" s="16"/>
      <c r="G3" s="16"/>
      <c r="H3" s="18"/>
      <c r="J3" s="16"/>
      <c r="O3" s="57"/>
      <c r="P3" s="16"/>
      <c r="R3" s="19"/>
    </row>
    <row r="4" spans="1:20" s="1" customFormat="1" ht="26.25" customHeight="1" x14ac:dyDescent="0.25">
      <c r="A4" s="41"/>
      <c r="B4" s="42"/>
      <c r="C4" s="24"/>
      <c r="D4" s="28"/>
      <c r="F4" s="16"/>
      <c r="G4" s="16"/>
      <c r="H4" s="18"/>
      <c r="J4" s="16"/>
      <c r="O4" s="57"/>
      <c r="P4" s="16"/>
      <c r="R4" s="19"/>
    </row>
    <row r="5" spans="1:20" s="1" customFormat="1" ht="26.25" customHeight="1" x14ac:dyDescent="0.25">
      <c r="A5" s="41"/>
      <c r="B5" s="24"/>
      <c r="C5" s="24"/>
      <c r="D5" s="86"/>
      <c r="F5" s="16"/>
      <c r="G5" s="16"/>
      <c r="H5" s="18"/>
      <c r="J5" s="16"/>
      <c r="O5" s="57"/>
      <c r="P5" s="16"/>
      <c r="R5" s="19"/>
    </row>
    <row r="6" spans="1:20" s="1" customFormat="1" ht="17.25" thickBot="1" x14ac:dyDescent="0.2">
      <c r="A6" s="20"/>
      <c r="B6" s="24"/>
      <c r="C6" s="20"/>
      <c r="D6" s="21"/>
      <c r="E6" s="21"/>
      <c r="F6" s="62"/>
      <c r="G6" s="62"/>
      <c r="H6" s="22"/>
      <c r="I6" s="21"/>
      <c r="J6" s="62"/>
      <c r="K6" s="21"/>
      <c r="L6" s="21"/>
      <c r="M6" s="21"/>
      <c r="N6" s="21"/>
      <c r="O6" s="61"/>
      <c r="P6" s="62"/>
      <c r="Q6" s="21"/>
      <c r="R6" s="23"/>
      <c r="S6" s="23"/>
      <c r="T6" s="23"/>
    </row>
    <row r="7" spans="1:20" s="29" customFormat="1" ht="17.25" thickTop="1" x14ac:dyDescent="0.25">
      <c r="A7" s="53"/>
      <c r="B7" s="29" t="s">
        <v>48</v>
      </c>
      <c r="C7" s="28"/>
      <c r="F7" s="30"/>
      <c r="G7" s="30"/>
      <c r="H7" s="31"/>
      <c r="I7" s="32" t="s">
        <v>50</v>
      </c>
      <c r="J7" s="30"/>
      <c r="K7" s="29" t="s">
        <v>49</v>
      </c>
      <c r="O7" s="30"/>
      <c r="P7" s="30"/>
      <c r="R7" s="33"/>
    </row>
    <row r="8" spans="1:20" s="19" customFormat="1" ht="28.5" x14ac:dyDescent="0.15">
      <c r="A8" s="34" t="s">
        <v>36</v>
      </c>
      <c r="B8" s="35" t="s">
        <v>46</v>
      </c>
      <c r="C8" s="35" t="s">
        <v>47</v>
      </c>
      <c r="D8" s="35" t="s">
        <v>37</v>
      </c>
      <c r="E8" s="35" t="s">
        <v>10</v>
      </c>
      <c r="F8" s="35" t="s">
        <v>9</v>
      </c>
      <c r="G8" s="35" t="s">
        <v>8</v>
      </c>
      <c r="H8" s="36" t="s">
        <v>38</v>
      </c>
      <c r="I8" s="35" t="s">
        <v>39</v>
      </c>
      <c r="J8" s="37" t="s">
        <v>40</v>
      </c>
      <c r="K8" s="38" t="s">
        <v>46</v>
      </c>
      <c r="L8" s="38" t="s">
        <v>47</v>
      </c>
      <c r="M8" s="38" t="s">
        <v>37</v>
      </c>
      <c r="N8" s="38" t="s">
        <v>10</v>
      </c>
      <c r="O8" s="38" t="s">
        <v>9</v>
      </c>
      <c r="P8" s="38" t="s">
        <v>8</v>
      </c>
      <c r="Q8" s="39" t="s">
        <v>41</v>
      </c>
      <c r="R8" s="39" t="s">
        <v>42</v>
      </c>
      <c r="S8" s="39" t="s">
        <v>43</v>
      </c>
      <c r="T8" s="39" t="s">
        <v>57</v>
      </c>
    </row>
    <row r="9" spans="1:20" x14ac:dyDescent="0.25">
      <c r="A9" s="128" t="s">
        <v>21</v>
      </c>
      <c r="B9" s="128" t="s">
        <v>196</v>
      </c>
      <c r="C9" s="128" t="s">
        <v>304</v>
      </c>
      <c r="D9" s="128">
        <v>12</v>
      </c>
      <c r="E9" s="128" t="s">
        <v>197</v>
      </c>
      <c r="F9" s="149"/>
      <c r="G9" s="149"/>
      <c r="H9" s="150"/>
      <c r="I9" s="129" t="s">
        <v>355</v>
      </c>
      <c r="J9" s="149" t="s">
        <v>59</v>
      </c>
      <c r="K9" s="128" t="s">
        <v>298</v>
      </c>
      <c r="L9" s="63" t="s">
        <v>284</v>
      </c>
      <c r="M9" s="128">
        <v>11</v>
      </c>
      <c r="N9" s="128" t="s">
        <v>28</v>
      </c>
      <c r="O9" s="149"/>
      <c r="P9" s="149"/>
      <c r="Q9" s="128" t="s">
        <v>1</v>
      </c>
      <c r="R9" s="129"/>
      <c r="S9" s="128"/>
      <c r="T9" s="150"/>
    </row>
    <row r="10" spans="1:20" x14ac:dyDescent="0.25">
      <c r="A10" s="128" t="s">
        <v>21</v>
      </c>
      <c r="B10" s="128" t="s">
        <v>196</v>
      </c>
      <c r="C10" s="128" t="s">
        <v>305</v>
      </c>
      <c r="D10" s="128">
        <v>9</v>
      </c>
      <c r="E10" s="128" t="s">
        <v>197</v>
      </c>
      <c r="F10" s="149"/>
      <c r="G10" s="149"/>
      <c r="H10" s="150"/>
      <c r="I10" s="129"/>
      <c r="J10" s="149" t="s">
        <v>59</v>
      </c>
      <c r="K10" s="128" t="s">
        <v>298</v>
      </c>
      <c r="L10" s="63" t="s">
        <v>285</v>
      </c>
      <c r="M10" s="128">
        <v>9</v>
      </c>
      <c r="N10" s="128" t="s">
        <v>197</v>
      </c>
      <c r="O10" s="149"/>
      <c r="P10" s="149"/>
      <c r="Q10" s="128" t="s">
        <v>1</v>
      </c>
      <c r="R10" s="129"/>
      <c r="S10" s="128"/>
      <c r="T10" s="150"/>
    </row>
    <row r="11" spans="1:20" x14ac:dyDescent="0.15">
      <c r="A11" s="128" t="s">
        <v>21</v>
      </c>
      <c r="B11" s="128" t="s">
        <v>196</v>
      </c>
      <c r="C11" s="128" t="s">
        <v>286</v>
      </c>
      <c r="D11" s="128">
        <v>10</v>
      </c>
      <c r="E11" s="128" t="s">
        <v>195</v>
      </c>
      <c r="F11" s="149"/>
      <c r="G11" s="149"/>
      <c r="H11" s="150"/>
      <c r="I11" s="129"/>
      <c r="J11" s="149" t="s">
        <v>59</v>
      </c>
      <c r="K11" s="128" t="s">
        <v>298</v>
      </c>
      <c r="L11" s="128" t="s">
        <v>288</v>
      </c>
      <c r="M11" s="128">
        <v>8</v>
      </c>
      <c r="N11" s="128" t="s">
        <v>2</v>
      </c>
      <c r="O11" s="149"/>
      <c r="P11" s="149"/>
      <c r="Q11" s="128" t="s">
        <v>1</v>
      </c>
      <c r="R11" s="129"/>
      <c r="S11" s="128" t="s">
        <v>244</v>
      </c>
      <c r="T11" s="150" t="s">
        <v>247</v>
      </c>
    </row>
    <row r="12" spans="1:20" x14ac:dyDescent="0.15">
      <c r="A12" s="128" t="s">
        <v>21</v>
      </c>
      <c r="B12" s="128" t="s">
        <v>196</v>
      </c>
      <c r="C12" s="128" t="s">
        <v>287</v>
      </c>
      <c r="D12" s="128">
        <v>10</v>
      </c>
      <c r="E12" s="128" t="s">
        <v>195</v>
      </c>
      <c r="F12" s="149"/>
      <c r="G12" s="149"/>
      <c r="H12" s="150"/>
      <c r="I12" s="129"/>
      <c r="J12" s="149" t="s">
        <v>59</v>
      </c>
      <c r="K12" s="128" t="s">
        <v>298</v>
      </c>
      <c r="L12" s="128" t="s">
        <v>289</v>
      </c>
      <c r="M12" s="128">
        <v>8</v>
      </c>
      <c r="N12" s="128" t="s">
        <v>2</v>
      </c>
      <c r="O12" s="149"/>
      <c r="P12" s="149"/>
      <c r="Q12" s="128" t="s">
        <v>1</v>
      </c>
      <c r="R12" s="129"/>
      <c r="S12" s="128" t="s">
        <v>245</v>
      </c>
      <c r="T12" s="150" t="s">
        <v>391</v>
      </c>
    </row>
    <row r="13" spans="1:20" s="147" customFormat="1" x14ac:dyDescent="0.15">
      <c r="A13" s="128" t="s">
        <v>21</v>
      </c>
      <c r="B13" s="128" t="s">
        <v>196</v>
      </c>
      <c r="C13" s="128" t="s">
        <v>204</v>
      </c>
      <c r="D13" s="128">
        <v>1</v>
      </c>
      <c r="E13" s="128" t="s">
        <v>60</v>
      </c>
      <c r="F13" s="149"/>
      <c r="G13" s="149"/>
      <c r="H13" s="150"/>
      <c r="I13" s="129" t="s">
        <v>389</v>
      </c>
      <c r="J13" s="149" t="s">
        <v>59</v>
      </c>
      <c r="K13" s="128" t="s">
        <v>298</v>
      </c>
      <c r="L13" s="128" t="s">
        <v>205</v>
      </c>
      <c r="M13" s="128">
        <v>1</v>
      </c>
      <c r="N13" s="128" t="s">
        <v>2</v>
      </c>
      <c r="O13" s="149"/>
      <c r="P13" s="149" t="s">
        <v>59</v>
      </c>
      <c r="Q13" s="128" t="s">
        <v>1</v>
      </c>
      <c r="R13" s="129"/>
      <c r="S13" s="128" t="s">
        <v>352</v>
      </c>
      <c r="T13" s="150" t="s">
        <v>382</v>
      </c>
    </row>
    <row r="14" spans="1:20" x14ac:dyDescent="0.15">
      <c r="A14" s="128" t="s">
        <v>21</v>
      </c>
      <c r="B14" s="128"/>
      <c r="C14" s="128"/>
      <c r="D14" s="128" t="s">
        <v>309</v>
      </c>
      <c r="E14" s="128" t="s">
        <v>309</v>
      </c>
      <c r="F14" s="149"/>
      <c r="G14" s="149"/>
      <c r="H14" s="150"/>
      <c r="I14" s="129" t="s">
        <v>311</v>
      </c>
      <c r="J14" s="149" t="s">
        <v>59</v>
      </c>
      <c r="K14" s="128" t="s">
        <v>298</v>
      </c>
      <c r="L14" s="128" t="s">
        <v>198</v>
      </c>
      <c r="M14" s="128">
        <v>2</v>
      </c>
      <c r="N14" s="128" t="s">
        <v>2</v>
      </c>
      <c r="O14" s="149" t="s">
        <v>59</v>
      </c>
      <c r="P14" s="149"/>
      <c r="Q14" s="128" t="s">
        <v>14</v>
      </c>
      <c r="R14" s="129">
        <v>24</v>
      </c>
      <c r="S14" s="128"/>
      <c r="T14" s="150"/>
    </row>
    <row r="15" spans="1:20" x14ac:dyDescent="0.15">
      <c r="A15" s="128" t="s">
        <v>21</v>
      </c>
      <c r="B15" s="128" t="s">
        <v>201</v>
      </c>
      <c r="C15" s="128" t="s">
        <v>202</v>
      </c>
      <c r="D15" s="128">
        <v>14</v>
      </c>
      <c r="E15" s="128" t="s">
        <v>60</v>
      </c>
      <c r="F15" s="149"/>
      <c r="G15" s="149"/>
      <c r="H15" s="150"/>
      <c r="I15" s="129"/>
      <c r="J15" s="149" t="s">
        <v>59</v>
      </c>
      <c r="K15" s="128" t="s">
        <v>298</v>
      </c>
      <c r="L15" s="128" t="s">
        <v>213</v>
      </c>
      <c r="M15" s="128">
        <v>14</v>
      </c>
      <c r="N15" s="128" t="s">
        <v>2</v>
      </c>
      <c r="O15" s="149" t="s">
        <v>59</v>
      </c>
      <c r="P15" s="149"/>
      <c r="Q15" s="128" t="s">
        <v>1</v>
      </c>
      <c r="R15" s="129"/>
      <c r="S15" s="128"/>
      <c r="T15" s="150"/>
    </row>
    <row r="16" spans="1:20" ht="28.5" x14ac:dyDescent="0.15">
      <c r="A16" s="128" t="s">
        <v>21</v>
      </c>
      <c r="B16" s="128" t="s">
        <v>201</v>
      </c>
      <c r="C16" s="128" t="s">
        <v>206</v>
      </c>
      <c r="D16" s="128">
        <v>1</v>
      </c>
      <c r="E16" s="128" t="s">
        <v>60</v>
      </c>
      <c r="F16" s="149"/>
      <c r="G16" s="149"/>
      <c r="H16" s="150"/>
      <c r="I16" s="129" t="s">
        <v>351</v>
      </c>
      <c r="J16" s="149" t="s">
        <v>59</v>
      </c>
      <c r="K16" s="128" t="s">
        <v>298</v>
      </c>
      <c r="L16" s="128" t="s">
        <v>290</v>
      </c>
      <c r="M16" s="128">
        <v>1</v>
      </c>
      <c r="N16" s="128" t="s">
        <v>2</v>
      </c>
      <c r="O16" s="149"/>
      <c r="P16" s="149"/>
      <c r="Q16" s="128" t="s">
        <v>1</v>
      </c>
      <c r="R16" s="129"/>
      <c r="S16" s="128" t="s">
        <v>352</v>
      </c>
      <c r="T16" s="150" t="s">
        <v>382</v>
      </c>
    </row>
    <row r="17" spans="1:20" ht="28.5" x14ac:dyDescent="0.15">
      <c r="A17" s="128" t="s">
        <v>21</v>
      </c>
      <c r="B17" s="128" t="s">
        <v>201</v>
      </c>
      <c r="C17" s="128" t="s">
        <v>207</v>
      </c>
      <c r="D17" s="128">
        <v>1</v>
      </c>
      <c r="E17" s="128" t="s">
        <v>60</v>
      </c>
      <c r="F17" s="149"/>
      <c r="G17" s="149"/>
      <c r="H17" s="150"/>
      <c r="I17" s="129" t="s">
        <v>356</v>
      </c>
      <c r="J17" s="149" t="s">
        <v>59</v>
      </c>
      <c r="K17" s="128" t="s">
        <v>298</v>
      </c>
      <c r="L17" s="128" t="s">
        <v>208</v>
      </c>
      <c r="M17" s="128">
        <v>1</v>
      </c>
      <c r="N17" s="128" t="s">
        <v>2</v>
      </c>
      <c r="O17" s="149"/>
      <c r="P17" s="149"/>
      <c r="Q17" s="128" t="s">
        <v>1</v>
      </c>
      <c r="R17" s="129"/>
      <c r="S17" s="128"/>
      <c r="T17" s="150"/>
    </row>
    <row r="18" spans="1:20" ht="28.5" x14ac:dyDescent="0.15">
      <c r="A18" s="128" t="s">
        <v>21</v>
      </c>
      <c r="B18" s="128" t="s">
        <v>201</v>
      </c>
      <c r="C18" s="128" t="s">
        <v>225</v>
      </c>
      <c r="D18" s="128">
        <v>4</v>
      </c>
      <c r="E18" s="128" t="s">
        <v>197</v>
      </c>
      <c r="F18" s="149"/>
      <c r="G18" s="149"/>
      <c r="H18" s="150"/>
      <c r="I18" s="129" t="s">
        <v>354</v>
      </c>
      <c r="J18" s="149" t="s">
        <v>236</v>
      </c>
      <c r="K18" s="128" t="s">
        <v>298</v>
      </c>
      <c r="L18" s="128" t="s">
        <v>209</v>
      </c>
      <c r="M18" s="128">
        <v>3</v>
      </c>
      <c r="N18" s="128" t="s">
        <v>28</v>
      </c>
      <c r="O18" s="149"/>
      <c r="P18" s="149" t="s">
        <v>210</v>
      </c>
      <c r="Q18" s="128" t="s">
        <v>1</v>
      </c>
      <c r="R18" s="129"/>
      <c r="S18" s="129" t="s">
        <v>230</v>
      </c>
      <c r="T18" s="150" t="s">
        <v>241</v>
      </c>
    </row>
    <row r="19" spans="1:20" ht="28.5" x14ac:dyDescent="0.15">
      <c r="A19" s="128" t="s">
        <v>21</v>
      </c>
      <c r="B19" s="128" t="s">
        <v>199</v>
      </c>
      <c r="C19" s="129" t="s">
        <v>315</v>
      </c>
      <c r="D19" s="128">
        <v>6</v>
      </c>
      <c r="E19" s="128" t="s">
        <v>2</v>
      </c>
      <c r="F19" s="149"/>
      <c r="G19" s="149"/>
      <c r="H19" s="150"/>
      <c r="I19" s="129" t="s">
        <v>353</v>
      </c>
      <c r="J19" s="149" t="s">
        <v>59</v>
      </c>
      <c r="K19" s="128" t="s">
        <v>298</v>
      </c>
      <c r="L19" s="128" t="s">
        <v>349</v>
      </c>
      <c r="M19" s="128">
        <v>6</v>
      </c>
      <c r="N19" s="128" t="s">
        <v>2</v>
      </c>
      <c r="O19" s="149"/>
      <c r="P19" s="149"/>
      <c r="Q19" s="128" t="s">
        <v>1</v>
      </c>
      <c r="R19" s="129"/>
      <c r="S19" s="128"/>
      <c r="T19" s="150"/>
    </row>
    <row r="20" spans="1:20" x14ac:dyDescent="0.15">
      <c r="A20" s="128" t="s">
        <v>21</v>
      </c>
      <c r="B20" s="128" t="s">
        <v>203</v>
      </c>
      <c r="C20" s="128" t="s">
        <v>254</v>
      </c>
      <c r="D20" s="128">
        <v>4</v>
      </c>
      <c r="E20" s="128" t="s">
        <v>28</v>
      </c>
      <c r="F20" s="149"/>
      <c r="G20" s="149"/>
      <c r="H20" s="150"/>
      <c r="I20" s="129"/>
      <c r="J20" s="149" t="s">
        <v>59</v>
      </c>
      <c r="K20" s="128" t="s">
        <v>298</v>
      </c>
      <c r="L20" s="128" t="s">
        <v>297</v>
      </c>
      <c r="M20" s="128">
        <v>4</v>
      </c>
      <c r="N20" s="128" t="s">
        <v>28</v>
      </c>
      <c r="O20" s="149"/>
      <c r="P20" s="149" t="s">
        <v>59</v>
      </c>
      <c r="Q20" s="128" t="s">
        <v>1</v>
      </c>
      <c r="R20" s="129"/>
      <c r="S20" s="128"/>
      <c r="T20" s="150"/>
    </row>
    <row r="21" spans="1:20" x14ac:dyDescent="0.15">
      <c r="A21" s="128" t="s">
        <v>21</v>
      </c>
      <c r="B21" s="128" t="s">
        <v>199</v>
      </c>
      <c r="C21" s="128" t="s">
        <v>211</v>
      </c>
      <c r="D21" s="128">
        <v>5</v>
      </c>
      <c r="E21" s="128" t="s">
        <v>197</v>
      </c>
      <c r="F21" s="149"/>
      <c r="G21" s="149"/>
      <c r="H21" s="150" t="s">
        <v>385</v>
      </c>
      <c r="I21" s="129" t="s">
        <v>313</v>
      </c>
      <c r="J21" s="149" t="s">
        <v>59</v>
      </c>
      <c r="K21" s="128" t="s">
        <v>298</v>
      </c>
      <c r="L21" s="128" t="s">
        <v>308</v>
      </c>
      <c r="M21" s="128">
        <v>4</v>
      </c>
      <c r="N21" s="128" t="s">
        <v>28</v>
      </c>
      <c r="O21" s="149"/>
      <c r="P21" s="149"/>
      <c r="Q21" s="128" t="s">
        <v>1</v>
      </c>
      <c r="R21" s="129"/>
      <c r="S21" s="128" t="s">
        <v>384</v>
      </c>
      <c r="T21" s="150" t="s">
        <v>387</v>
      </c>
    </row>
    <row r="22" spans="1:20" x14ac:dyDescent="0.15">
      <c r="A22" s="128" t="s">
        <v>21</v>
      </c>
      <c r="B22" s="128" t="s">
        <v>199</v>
      </c>
      <c r="C22" s="128" t="s">
        <v>212</v>
      </c>
      <c r="D22" s="128">
        <v>1</v>
      </c>
      <c r="E22" s="128" t="s">
        <v>197</v>
      </c>
      <c r="F22" s="149"/>
      <c r="G22" s="149"/>
      <c r="H22" s="150"/>
      <c r="I22" s="129"/>
      <c r="J22" s="149" t="s">
        <v>59</v>
      </c>
      <c r="K22" s="128" t="s">
        <v>298</v>
      </c>
      <c r="L22" s="128" t="s">
        <v>295</v>
      </c>
      <c r="M22" s="128">
        <v>1</v>
      </c>
      <c r="N22" s="128" t="s">
        <v>2</v>
      </c>
      <c r="O22" s="149"/>
      <c r="P22" s="149"/>
      <c r="Q22" s="128" t="s">
        <v>1</v>
      </c>
      <c r="R22" s="129"/>
      <c r="S22" s="128"/>
      <c r="T22" s="150"/>
    </row>
    <row r="23" spans="1:20" s="148" customFormat="1" x14ac:dyDescent="0.15">
      <c r="A23" s="151" t="s">
        <v>21</v>
      </c>
      <c r="B23" s="151" t="s">
        <v>196</v>
      </c>
      <c r="C23" s="151" t="s">
        <v>393</v>
      </c>
      <c r="D23" s="151">
        <v>3</v>
      </c>
      <c r="E23" s="151" t="s">
        <v>60</v>
      </c>
      <c r="F23" s="152"/>
      <c r="G23" s="152" t="s">
        <v>59</v>
      </c>
      <c r="H23" s="153"/>
      <c r="I23" s="154" t="s">
        <v>394</v>
      </c>
      <c r="J23" s="152" t="s">
        <v>59</v>
      </c>
      <c r="K23" s="151" t="s">
        <v>298</v>
      </c>
      <c r="L23" s="151" t="s">
        <v>200</v>
      </c>
      <c r="M23" s="151">
        <v>1</v>
      </c>
      <c r="N23" s="151" t="s">
        <v>2</v>
      </c>
      <c r="O23" s="152" t="s">
        <v>59</v>
      </c>
      <c r="P23" s="152" t="s">
        <v>59</v>
      </c>
      <c r="Q23" s="151" t="s">
        <v>1</v>
      </c>
      <c r="R23" s="154"/>
      <c r="S23" s="151" t="s">
        <v>396</v>
      </c>
      <c r="T23" s="153" t="s">
        <v>395</v>
      </c>
    </row>
    <row r="24" spans="1:20" x14ac:dyDescent="0.15">
      <c r="A24" s="128" t="s">
        <v>21</v>
      </c>
      <c r="B24" s="128"/>
      <c r="C24" s="128"/>
      <c r="D24" s="128" t="s">
        <v>309</v>
      </c>
      <c r="E24" s="128" t="s">
        <v>309</v>
      </c>
      <c r="F24" s="149"/>
      <c r="G24" s="149"/>
      <c r="H24" s="150"/>
      <c r="I24" s="129" t="s">
        <v>312</v>
      </c>
      <c r="J24" s="149" t="s">
        <v>59</v>
      </c>
      <c r="K24" s="128" t="s">
        <v>298</v>
      </c>
      <c r="L24" s="128" t="s">
        <v>291</v>
      </c>
      <c r="M24" s="128">
        <v>1</v>
      </c>
      <c r="N24" s="128" t="s">
        <v>2</v>
      </c>
      <c r="O24" s="149"/>
      <c r="P24" s="149"/>
      <c r="Q24" s="128" t="s">
        <v>14</v>
      </c>
      <c r="R24" s="129">
        <v>0</v>
      </c>
      <c r="S24" s="129"/>
      <c r="T24" s="150"/>
    </row>
    <row r="25" spans="1:20" x14ac:dyDescent="0.15">
      <c r="A25" s="128" t="s">
        <v>21</v>
      </c>
      <c r="B25" s="128"/>
      <c r="C25" s="128"/>
      <c r="D25" s="128" t="s">
        <v>309</v>
      </c>
      <c r="E25" s="128" t="s">
        <v>309</v>
      </c>
      <c r="F25" s="149"/>
      <c r="G25" s="149"/>
      <c r="H25" s="150"/>
      <c r="I25" s="129" t="s">
        <v>312</v>
      </c>
      <c r="J25" s="149" t="s">
        <v>59</v>
      </c>
      <c r="K25" s="128" t="s">
        <v>298</v>
      </c>
      <c r="L25" s="128" t="s">
        <v>292</v>
      </c>
      <c r="M25" s="128">
        <v>1</v>
      </c>
      <c r="N25" s="128" t="s">
        <v>2</v>
      </c>
      <c r="O25" s="149"/>
      <c r="P25" s="149"/>
      <c r="Q25" s="128" t="s">
        <v>14</v>
      </c>
      <c r="R25" s="129">
        <v>0</v>
      </c>
      <c r="S25" s="129"/>
      <c r="T25" s="150"/>
    </row>
    <row r="26" spans="1:20" x14ac:dyDescent="0.15">
      <c r="A26" s="128" t="s">
        <v>21</v>
      </c>
      <c r="B26" s="128"/>
      <c r="C26" s="128"/>
      <c r="D26" s="128" t="s">
        <v>309</v>
      </c>
      <c r="E26" s="128" t="s">
        <v>309</v>
      </c>
      <c r="F26" s="149"/>
      <c r="G26" s="149"/>
      <c r="H26" s="150"/>
      <c r="I26" s="129" t="s">
        <v>312</v>
      </c>
      <c r="J26" s="149" t="s">
        <v>59</v>
      </c>
      <c r="K26" s="128" t="s">
        <v>298</v>
      </c>
      <c r="L26" s="128" t="s">
        <v>293</v>
      </c>
      <c r="M26" s="128">
        <v>1</v>
      </c>
      <c r="N26" s="128" t="s">
        <v>2</v>
      </c>
      <c r="O26" s="149"/>
      <c r="P26" s="149"/>
      <c r="Q26" s="128" t="s">
        <v>14</v>
      </c>
      <c r="R26" s="129">
        <v>0</v>
      </c>
      <c r="S26" s="129"/>
      <c r="T26" s="150"/>
    </row>
    <row r="27" spans="1:20" x14ac:dyDescent="0.15">
      <c r="A27" s="128" t="s">
        <v>21</v>
      </c>
      <c r="B27" s="128"/>
      <c r="C27" s="128"/>
      <c r="D27" s="128" t="s">
        <v>309</v>
      </c>
      <c r="E27" s="128" t="s">
        <v>309</v>
      </c>
      <c r="F27" s="149"/>
      <c r="G27" s="149"/>
      <c r="H27" s="150"/>
      <c r="I27" s="129" t="s">
        <v>312</v>
      </c>
      <c r="J27" s="149" t="s">
        <v>59</v>
      </c>
      <c r="K27" s="128" t="s">
        <v>298</v>
      </c>
      <c r="L27" s="128" t="s">
        <v>294</v>
      </c>
      <c r="M27" s="128">
        <v>1</v>
      </c>
      <c r="N27" s="128" t="s">
        <v>2</v>
      </c>
      <c r="O27" s="149"/>
      <c r="P27" s="149"/>
      <c r="Q27" s="128" t="s">
        <v>14</v>
      </c>
      <c r="R27" s="129">
        <v>0</v>
      </c>
      <c r="S27" s="129"/>
      <c r="T27" s="150"/>
    </row>
    <row r="28" spans="1:20" x14ac:dyDescent="0.15">
      <c r="A28" s="128" t="s">
        <v>21</v>
      </c>
      <c r="B28" s="128"/>
      <c r="C28" s="128"/>
      <c r="D28" s="128" t="s">
        <v>309</v>
      </c>
      <c r="E28" s="128" t="s">
        <v>309</v>
      </c>
      <c r="F28" s="149"/>
      <c r="G28" s="149"/>
      <c r="H28" s="150"/>
      <c r="I28" s="129" t="s">
        <v>312</v>
      </c>
      <c r="J28" s="149" t="s">
        <v>59</v>
      </c>
      <c r="K28" s="128" t="s">
        <v>298</v>
      </c>
      <c r="L28" s="128" t="s">
        <v>296</v>
      </c>
      <c r="M28" s="128">
        <v>1</v>
      </c>
      <c r="N28" s="128" t="s">
        <v>2</v>
      </c>
      <c r="O28" s="149"/>
      <c r="P28" s="149"/>
      <c r="Q28" s="128" t="s">
        <v>14</v>
      </c>
      <c r="R28" s="129">
        <v>0</v>
      </c>
      <c r="S28" s="129"/>
      <c r="T28" s="150"/>
    </row>
    <row r="29" spans="1:20" ht="28.5" x14ac:dyDescent="0.15">
      <c r="A29" s="128" t="s">
        <v>21</v>
      </c>
      <c r="B29" s="128" t="s">
        <v>239</v>
      </c>
      <c r="C29" s="128" t="s">
        <v>237</v>
      </c>
      <c r="D29" s="128">
        <v>20</v>
      </c>
      <c r="E29" s="128" t="s">
        <v>309</v>
      </c>
      <c r="F29" s="149"/>
      <c r="G29" s="149"/>
      <c r="H29" s="150"/>
      <c r="I29" s="129"/>
      <c r="J29" s="155" t="s">
        <v>59</v>
      </c>
      <c r="K29" s="128" t="s">
        <v>298</v>
      </c>
      <c r="L29" s="128" t="s">
        <v>237</v>
      </c>
      <c r="M29" s="128">
        <v>20</v>
      </c>
      <c r="N29" s="128" t="s">
        <v>2</v>
      </c>
      <c r="O29" s="149" t="s">
        <v>59</v>
      </c>
      <c r="P29" s="149"/>
      <c r="Q29" s="128" t="s">
        <v>1</v>
      </c>
      <c r="R29" s="129"/>
      <c r="S29" s="129" t="s">
        <v>240</v>
      </c>
      <c r="T29" s="150"/>
    </row>
    <row r="30" spans="1:20" x14ac:dyDescent="0.15">
      <c r="A30" s="128" t="s">
        <v>21</v>
      </c>
      <c r="B30" s="128" t="s">
        <v>239</v>
      </c>
      <c r="C30" s="128" t="s">
        <v>306</v>
      </c>
      <c r="D30" s="128">
        <v>50</v>
      </c>
      <c r="E30" s="128" t="s">
        <v>60</v>
      </c>
      <c r="F30" s="149"/>
      <c r="G30" s="149"/>
      <c r="H30" s="150"/>
      <c r="I30" s="129" t="s">
        <v>310</v>
      </c>
      <c r="J30" s="155" t="s">
        <v>59</v>
      </c>
      <c r="K30" s="128" t="s">
        <v>298</v>
      </c>
      <c r="L30" s="128" t="s">
        <v>238</v>
      </c>
      <c r="M30" s="128">
        <v>10</v>
      </c>
      <c r="N30" s="128" t="s">
        <v>2</v>
      </c>
      <c r="O30" s="149"/>
      <c r="P30" s="149"/>
      <c r="Q30" s="128" t="s">
        <v>1</v>
      </c>
      <c r="R30" s="129"/>
      <c r="S30" s="128"/>
      <c r="T30" s="150"/>
    </row>
  </sheetData>
  <sheetProtection formatCells="0" formatColumns="0" formatRows="0" insertHyperlinks="0" deleteRows="0" sort="0" autoFilter="0"/>
  <autoFilter ref="A8:T30" xr:uid="{00000000-0009-0000-0000-000002000000}"/>
  <mergeCells count="1">
    <mergeCell ref="A1:B1"/>
  </mergeCells>
  <phoneticPr fontId="3"/>
  <dataValidations count="7">
    <dataValidation type="list" allowBlank="1" showInputMessage="1" showErrorMessage="1" sqref="B2:B4" xr:uid="{00000000-0002-0000-0200-000000000000}">
      <formula1>"eBASE,他システム"</formula1>
    </dataValidation>
    <dataValidation type="list" allowBlank="1" showInputMessage="1" showErrorMessage="1" sqref="E8:E30 N8:N30" xr:uid="{00000000-0002-0000-0200-000001000000}">
      <formula1>RngDataType</formula1>
    </dataValidation>
    <dataValidation type="list" allowBlank="1" showInputMessage="1" sqref="A8:A30" xr:uid="{00000000-0002-0000-0200-000002000000}">
      <formula1>RngStatus</formula1>
    </dataValidation>
    <dataValidation type="list" allowBlank="1" showInputMessage="1" showErrorMessage="1" sqref="O8:O30 F8:F30" xr:uid="{00000000-0002-0000-0200-000003000000}">
      <formula1>RngUmu</formula1>
    </dataValidation>
    <dataValidation type="list" allowBlank="1" showInputMessage="1" sqref="P8:P30 G8:G30" xr:uid="{00000000-0002-0000-0200-000004000000}">
      <formula1>RngUmu</formula1>
    </dataValidation>
    <dataValidation type="list" allowBlank="1" showInputMessage="1" showErrorMessage="1" sqref="J8:J30" xr:uid="{00000000-0002-0000-0200-000005000000}">
      <formula1>RngYesNo</formula1>
    </dataValidation>
    <dataValidation type="list" allowBlank="1" showInputMessage="1" showErrorMessage="1" sqref="Q8:Q30" xr:uid="{00000000-0002-0000-0200-000006000000}">
      <formula1>RngSyori</formula1>
    </dataValidation>
  </dataValidations>
  <pageMargins left="0.70866141732283472" right="0.70866141732283472" top="0.74803149606299213" bottom="0.74803149606299213" header="0.31496062992125984" footer="0.31496062992125984"/>
  <pageSetup paperSize="9" scale="40" fitToHeight="0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Button 1">
              <controlPr defaultSize="0" print="0" autoFill="0" autoPict="0" macro="[0]!OnClick_CheckDefToItem">
                <anchor moveWithCells="1">
                  <from>
                    <xdr:col>14</xdr:col>
                    <xdr:colOff>0</xdr:colOff>
                    <xdr:row>2</xdr:row>
                    <xdr:rowOff>28575</xdr:rowOff>
                  </from>
                  <to>
                    <xdr:col>16</xdr:col>
                    <xdr:colOff>1076325</xdr:colOff>
                    <xdr:row>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5" name="Button 3">
              <controlPr defaultSize="0" print="0" autoFill="0" autoPict="0" macro="[0]!OnClick_ReadDef_T">
                <anchor moveWithCells="1">
                  <from>
                    <xdr:col>2</xdr:col>
                    <xdr:colOff>180975</xdr:colOff>
                    <xdr:row>2</xdr:row>
                    <xdr:rowOff>28575</xdr:rowOff>
                  </from>
                  <to>
                    <xdr:col>2</xdr:col>
                    <xdr:colOff>1819275</xdr:colOff>
                    <xdr:row>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6" name="Button 5">
              <controlPr defaultSize="0" print="0" autoFill="0" autoPict="0" macro="[0]!OnClick_SearchDefItem">
                <anchor moveWithCells="1">
                  <from>
                    <xdr:col>11</xdr:col>
                    <xdr:colOff>457200</xdr:colOff>
                    <xdr:row>2</xdr:row>
                    <xdr:rowOff>28575</xdr:rowOff>
                  </from>
                  <to>
                    <xdr:col>12</xdr:col>
                    <xdr:colOff>390525</xdr:colOff>
                    <xdr:row>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6" r:id="rId7" name="Button 32">
              <controlPr defaultSize="0" print="0" autoFill="0" autoPict="0" macro="[0]!OnClick_DeleteSpec">
                <anchor moveWithCells="1">
                  <from>
                    <xdr:col>4</xdr:col>
                    <xdr:colOff>142875</xdr:colOff>
                    <xdr:row>2</xdr:row>
                    <xdr:rowOff>28575</xdr:rowOff>
                  </from>
                  <to>
                    <xdr:col>7</xdr:col>
                    <xdr:colOff>638175</xdr:colOff>
                    <xdr:row>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7" r:id="rId8" name="Button 33">
              <controlPr defaultSize="0" print="0" autoFill="0" autoPict="0" macro="[0]!OnClick_AutoMapping">
                <anchor moveWithCells="1">
                  <from>
                    <xdr:col>9</xdr:col>
                    <xdr:colOff>28575</xdr:colOff>
                    <xdr:row>2</xdr:row>
                    <xdr:rowOff>28575</xdr:rowOff>
                  </from>
                  <to>
                    <xdr:col>11</xdr:col>
                    <xdr:colOff>9525</xdr:colOff>
                    <xdr:row>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8" r:id="rId9" name="Button 34">
              <controlPr defaultSize="0" print="0" autoFill="0" autoPict="0" macro="[0]!OnClick_ReadDef_F">
                <anchor moveWithCells="1">
                  <from>
                    <xdr:col>2</xdr:col>
                    <xdr:colOff>180975</xdr:colOff>
                    <xdr:row>1</xdr:row>
                    <xdr:rowOff>28575</xdr:rowOff>
                  </from>
                  <to>
                    <xdr:col>2</xdr:col>
                    <xdr:colOff>1819275</xdr:colOff>
                    <xdr:row>1</xdr:row>
                    <xdr:rowOff>304800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5"/>
    <pageSetUpPr fitToPage="1"/>
  </sheetPr>
  <dimension ref="A1:T15"/>
  <sheetViews>
    <sheetView showGridLines="0" zoomScaleNormal="100" workbookViewId="0">
      <pane xSplit="3" ySplit="8" topLeftCell="D9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9" defaultRowHeight="14.25" x14ac:dyDescent="0.15"/>
  <cols>
    <col min="1" max="1" width="9" style="9" customWidth="1"/>
    <col min="2" max="3" width="18.625" style="9" customWidth="1"/>
    <col min="4" max="4" width="5.875" style="9" customWidth="1"/>
    <col min="5" max="5" width="7.625" style="9" customWidth="1"/>
    <col min="6" max="6" width="4.875" style="10" bestFit="1" customWidth="1"/>
    <col min="7" max="7" width="4.875" style="10" customWidth="1"/>
    <col min="8" max="8" width="18.625" style="11" customWidth="1"/>
    <col min="9" max="9" width="18.625" style="8" customWidth="1"/>
    <col min="10" max="10" width="4.5" style="10" customWidth="1"/>
    <col min="11" max="11" width="13.875" style="9" customWidth="1"/>
    <col min="12" max="12" width="16.625" style="9" customWidth="1"/>
    <col min="13" max="13" width="5.875" style="9" customWidth="1"/>
    <col min="14" max="14" width="7.625" style="9" customWidth="1"/>
    <col min="15" max="16" width="4.875" style="10" bestFit="1" customWidth="1"/>
    <col min="17" max="17" width="17.875" style="9" customWidth="1"/>
    <col min="18" max="18" width="8" style="8" bestFit="1" customWidth="1"/>
    <col min="19" max="19" width="17.875" style="9" customWidth="1"/>
    <col min="20" max="20" width="16.125" style="9" customWidth="1"/>
    <col min="21" max="16384" width="9" style="9"/>
  </cols>
  <sheetData>
    <row r="1" spans="1:20" s="1" customFormat="1" ht="26.25" customHeight="1" x14ac:dyDescent="0.15">
      <c r="A1" s="164" t="s">
        <v>176</v>
      </c>
      <c r="B1" s="164"/>
      <c r="C1" s="24"/>
      <c r="D1" s="24"/>
      <c r="E1" s="24"/>
      <c r="F1" s="56"/>
      <c r="G1" s="56"/>
      <c r="H1" s="24"/>
      <c r="I1" s="24"/>
      <c r="J1" s="56"/>
      <c r="K1" s="24"/>
      <c r="L1" s="24"/>
      <c r="M1" s="24"/>
      <c r="N1" s="24"/>
      <c r="O1" s="56"/>
      <c r="P1" s="56"/>
      <c r="Q1" s="24"/>
      <c r="T1" s="17" t="str">
        <f>"Ver. " &amp; SysVersion</f>
        <v>Ver. 0.9.2.2</v>
      </c>
    </row>
    <row r="2" spans="1:20" s="1" customFormat="1" ht="26.25" customHeight="1" x14ac:dyDescent="0.15">
      <c r="A2" s="25" t="s">
        <v>44</v>
      </c>
      <c r="B2" s="40"/>
      <c r="C2" s="24"/>
      <c r="F2" s="16"/>
      <c r="G2" s="16"/>
      <c r="H2" s="18"/>
      <c r="J2" s="16"/>
      <c r="O2" s="57"/>
      <c r="P2" s="16"/>
      <c r="R2" s="19"/>
    </row>
    <row r="3" spans="1:20" s="1" customFormat="1" ht="26.25" customHeight="1" x14ac:dyDescent="0.25">
      <c r="A3" s="27" t="s">
        <v>45</v>
      </c>
      <c r="B3" s="40"/>
      <c r="C3" s="24"/>
      <c r="D3" s="28"/>
      <c r="F3" s="16"/>
      <c r="G3" s="16"/>
      <c r="H3" s="18"/>
      <c r="J3" s="16"/>
      <c r="O3" s="57"/>
      <c r="P3" s="16"/>
      <c r="R3" s="19"/>
    </row>
    <row r="4" spans="1:20" s="47" customFormat="1" ht="26.25" customHeight="1" x14ac:dyDescent="0.15">
      <c r="A4" s="49" t="s">
        <v>64</v>
      </c>
      <c r="B4" s="54" t="s">
        <v>63</v>
      </c>
      <c r="C4" s="165" t="s">
        <v>62</v>
      </c>
      <c r="D4" s="166"/>
      <c r="E4" s="166"/>
      <c r="F4" s="166"/>
      <c r="G4" s="167"/>
      <c r="J4" s="58"/>
      <c r="O4" s="58"/>
      <c r="P4" s="58"/>
      <c r="R4" s="48"/>
    </row>
    <row r="5" spans="1:20" s="47" customFormat="1" ht="26.25" customHeight="1" x14ac:dyDescent="0.15">
      <c r="A5" s="50" t="s">
        <v>61</v>
      </c>
      <c r="B5" s="55" t="s">
        <v>185</v>
      </c>
      <c r="C5" s="168" t="s">
        <v>177</v>
      </c>
      <c r="D5" s="169"/>
      <c r="E5" s="169"/>
      <c r="F5" s="169"/>
      <c r="G5" s="170"/>
      <c r="H5" s="18"/>
      <c r="J5" s="58"/>
      <c r="O5" s="58"/>
      <c r="P5" s="58"/>
      <c r="R5" s="48"/>
    </row>
    <row r="6" spans="1:20" s="24" customFormat="1" ht="17.25" thickBot="1" x14ac:dyDescent="0.2">
      <c r="A6" s="20"/>
      <c r="B6" s="20"/>
      <c r="C6" s="20"/>
      <c r="D6" s="20"/>
      <c r="E6" s="20"/>
      <c r="F6" s="60"/>
      <c r="G6" s="60"/>
      <c r="H6" s="51"/>
      <c r="I6" s="20"/>
      <c r="J6" s="60"/>
      <c r="K6" s="20"/>
      <c r="L6" s="20"/>
      <c r="M6" s="20"/>
      <c r="N6" s="20"/>
      <c r="O6" s="59"/>
      <c r="P6" s="60"/>
      <c r="Q6" s="20"/>
      <c r="R6" s="52"/>
      <c r="S6" s="52"/>
      <c r="T6" s="52"/>
    </row>
    <row r="7" spans="1:20" s="29" customFormat="1" ht="17.25" thickTop="1" x14ac:dyDescent="0.25">
      <c r="A7" s="53"/>
      <c r="B7" s="29" t="s">
        <v>48</v>
      </c>
      <c r="C7" s="28"/>
      <c r="F7" s="30"/>
      <c r="G7" s="30"/>
      <c r="H7" s="31"/>
      <c r="I7" s="32" t="s">
        <v>50</v>
      </c>
      <c r="J7" s="30"/>
      <c r="K7" s="29" t="s">
        <v>49</v>
      </c>
      <c r="O7" s="30"/>
      <c r="P7" s="30"/>
      <c r="R7" s="33"/>
    </row>
    <row r="8" spans="1:20" s="19" customFormat="1" ht="28.5" x14ac:dyDescent="0.15">
      <c r="A8" s="34" t="s">
        <v>36</v>
      </c>
      <c r="B8" s="35" t="s">
        <v>46</v>
      </c>
      <c r="C8" s="35" t="s">
        <v>47</v>
      </c>
      <c r="D8" s="35" t="s">
        <v>37</v>
      </c>
      <c r="E8" s="35" t="s">
        <v>10</v>
      </c>
      <c r="F8" s="35" t="s">
        <v>9</v>
      </c>
      <c r="G8" s="35" t="s">
        <v>8</v>
      </c>
      <c r="H8" s="36" t="s">
        <v>38</v>
      </c>
      <c r="I8" s="35" t="s">
        <v>39</v>
      </c>
      <c r="J8" s="37" t="s">
        <v>40</v>
      </c>
      <c r="K8" s="38" t="s">
        <v>46</v>
      </c>
      <c r="L8" s="38" t="s">
        <v>47</v>
      </c>
      <c r="M8" s="38" t="s">
        <v>37</v>
      </c>
      <c r="N8" s="38" t="s">
        <v>10</v>
      </c>
      <c r="O8" s="38" t="s">
        <v>9</v>
      </c>
      <c r="P8" s="38" t="s">
        <v>8</v>
      </c>
      <c r="Q8" s="39" t="s">
        <v>41</v>
      </c>
      <c r="R8" s="39" t="s">
        <v>42</v>
      </c>
      <c r="S8" s="39" t="s">
        <v>43</v>
      </c>
      <c r="T8" s="39" t="s">
        <v>57</v>
      </c>
    </row>
    <row r="9" spans="1:20" x14ac:dyDescent="0.15">
      <c r="A9" s="43" t="s">
        <v>58</v>
      </c>
      <c r="B9" s="43"/>
      <c r="C9" s="43" t="s">
        <v>178</v>
      </c>
      <c r="D9" s="43"/>
      <c r="E9" s="43" t="s">
        <v>60</v>
      </c>
      <c r="F9" s="44"/>
      <c r="G9" s="44"/>
      <c r="H9" s="45"/>
      <c r="I9" s="46"/>
      <c r="J9" s="44" t="s">
        <v>59</v>
      </c>
      <c r="K9" s="43" t="s">
        <v>183</v>
      </c>
      <c r="L9" s="43" t="s">
        <v>178</v>
      </c>
      <c r="M9" s="43"/>
      <c r="N9" s="43" t="s">
        <v>60</v>
      </c>
      <c r="O9" s="44"/>
      <c r="P9" s="44"/>
      <c r="Q9" s="43" t="s">
        <v>1</v>
      </c>
      <c r="R9" s="46"/>
      <c r="S9" s="43"/>
      <c r="T9" s="45"/>
    </row>
    <row r="10" spans="1:20" x14ac:dyDescent="0.15">
      <c r="A10" s="43" t="s">
        <v>58</v>
      </c>
      <c r="B10" s="43"/>
      <c r="C10" s="43" t="s">
        <v>179</v>
      </c>
      <c r="D10" s="43"/>
      <c r="E10" s="43" t="s">
        <v>60</v>
      </c>
      <c r="F10" s="44"/>
      <c r="G10" s="44"/>
      <c r="H10" s="45"/>
      <c r="I10" s="46"/>
      <c r="J10" s="44" t="s">
        <v>59</v>
      </c>
      <c r="K10" s="43" t="s">
        <v>183</v>
      </c>
      <c r="L10" s="43" t="s">
        <v>179</v>
      </c>
      <c r="M10" s="43"/>
      <c r="N10" s="43" t="s">
        <v>60</v>
      </c>
      <c r="O10" s="44"/>
      <c r="P10" s="44"/>
      <c r="Q10" s="43" t="s">
        <v>1</v>
      </c>
      <c r="R10" s="46"/>
      <c r="S10" s="43"/>
      <c r="T10" s="45"/>
    </row>
    <row r="11" spans="1:20" x14ac:dyDescent="0.15">
      <c r="A11" s="43" t="s">
        <v>58</v>
      </c>
      <c r="B11" s="43"/>
      <c r="C11" s="43" t="s">
        <v>180</v>
      </c>
      <c r="D11" s="43"/>
      <c r="E11" s="43" t="s">
        <v>60</v>
      </c>
      <c r="F11" s="44"/>
      <c r="G11" s="44"/>
      <c r="H11" s="45"/>
      <c r="I11" s="46"/>
      <c r="J11" s="44" t="s">
        <v>59</v>
      </c>
      <c r="K11" s="43" t="s">
        <v>183</v>
      </c>
      <c r="L11" s="43" t="s">
        <v>180</v>
      </c>
      <c r="M11" s="43"/>
      <c r="N11" s="43" t="s">
        <v>60</v>
      </c>
      <c r="O11" s="44"/>
      <c r="P11" s="44"/>
      <c r="Q11" s="43" t="s">
        <v>1</v>
      </c>
      <c r="R11" s="46"/>
      <c r="S11" s="43"/>
      <c r="T11" s="45"/>
    </row>
    <row r="12" spans="1:20" x14ac:dyDescent="0.15">
      <c r="A12" s="43" t="s">
        <v>58</v>
      </c>
      <c r="B12" s="43"/>
      <c r="C12" s="43" t="s">
        <v>107</v>
      </c>
      <c r="D12" s="43"/>
      <c r="E12" s="43" t="s">
        <v>60</v>
      </c>
      <c r="F12" s="44"/>
      <c r="G12" s="44"/>
      <c r="H12" s="45"/>
      <c r="I12" s="46"/>
      <c r="J12" s="44" t="s">
        <v>59</v>
      </c>
      <c r="K12" s="43" t="s">
        <v>183</v>
      </c>
      <c r="L12" s="43" t="s">
        <v>107</v>
      </c>
      <c r="M12" s="43"/>
      <c r="N12" s="43" t="s">
        <v>60</v>
      </c>
      <c r="O12" s="44"/>
      <c r="P12" s="44"/>
      <c r="Q12" s="43" t="s">
        <v>1</v>
      </c>
      <c r="R12" s="46"/>
      <c r="S12" s="43"/>
      <c r="T12" s="45"/>
    </row>
    <row r="13" spans="1:20" x14ac:dyDescent="0.15">
      <c r="A13" s="43" t="s">
        <v>58</v>
      </c>
      <c r="B13" s="43"/>
      <c r="C13" s="43" t="s">
        <v>117</v>
      </c>
      <c r="D13" s="43"/>
      <c r="E13" s="43" t="s">
        <v>60</v>
      </c>
      <c r="F13" s="44"/>
      <c r="G13" s="44"/>
      <c r="H13" s="45"/>
      <c r="I13" s="46"/>
      <c r="J13" s="44" t="s">
        <v>59</v>
      </c>
      <c r="K13" s="43" t="s">
        <v>183</v>
      </c>
      <c r="L13" s="43" t="s">
        <v>117</v>
      </c>
      <c r="M13" s="43"/>
      <c r="N13" s="43" t="s">
        <v>60</v>
      </c>
      <c r="O13" s="44"/>
      <c r="P13" s="44"/>
      <c r="Q13" s="43" t="s">
        <v>1</v>
      </c>
      <c r="R13" s="46"/>
      <c r="S13" s="43"/>
      <c r="T13" s="45"/>
    </row>
    <row r="14" spans="1:20" x14ac:dyDescent="0.15">
      <c r="A14" s="43" t="s">
        <v>58</v>
      </c>
      <c r="B14" s="43"/>
      <c r="C14" s="43" t="s">
        <v>118</v>
      </c>
      <c r="D14" s="43"/>
      <c r="E14" s="43" t="s">
        <v>60</v>
      </c>
      <c r="F14" s="44"/>
      <c r="G14" s="44"/>
      <c r="H14" s="45"/>
      <c r="I14" s="46"/>
      <c r="J14" s="44" t="s">
        <v>59</v>
      </c>
      <c r="K14" s="43" t="s">
        <v>183</v>
      </c>
      <c r="L14" s="43" t="s">
        <v>118</v>
      </c>
      <c r="M14" s="43"/>
      <c r="N14" s="43" t="s">
        <v>60</v>
      </c>
      <c r="O14" s="44"/>
      <c r="P14" s="44"/>
      <c r="Q14" s="43" t="s">
        <v>1</v>
      </c>
      <c r="R14" s="46"/>
      <c r="S14" s="43"/>
      <c r="T14" s="45"/>
    </row>
    <row r="15" spans="1:20" x14ac:dyDescent="0.15">
      <c r="A15" s="43" t="s">
        <v>58</v>
      </c>
      <c r="B15" s="43" t="s">
        <v>181</v>
      </c>
      <c r="C15" s="43" t="s">
        <v>182</v>
      </c>
      <c r="D15" s="43"/>
      <c r="E15" s="43" t="s">
        <v>60</v>
      </c>
      <c r="F15" s="44"/>
      <c r="G15" s="44"/>
      <c r="H15" s="45"/>
      <c r="I15" s="46"/>
      <c r="J15" s="44" t="s">
        <v>59</v>
      </c>
      <c r="K15" s="43" t="s">
        <v>183</v>
      </c>
      <c r="L15" s="43" t="s">
        <v>184</v>
      </c>
      <c r="M15" s="43"/>
      <c r="N15" s="43" t="s">
        <v>60</v>
      </c>
      <c r="O15" s="44"/>
      <c r="P15" s="44"/>
      <c r="Q15" s="43" t="s">
        <v>1</v>
      </c>
      <c r="R15" s="46"/>
      <c r="S15" s="43"/>
      <c r="T15" s="45"/>
    </row>
  </sheetData>
  <sheetProtection sheet="1" scenarios="1" formatCells="0" formatColumns="0" formatRows="0" insertHyperlinks="0" deleteRows="0" sort="0" autoFilter="0"/>
  <mergeCells count="3">
    <mergeCell ref="A1:B1"/>
    <mergeCell ref="C4:G4"/>
    <mergeCell ref="C5:G5"/>
  </mergeCells>
  <phoneticPr fontId="3"/>
  <dataValidations count="7">
    <dataValidation type="list" allowBlank="1" showInputMessage="1" showErrorMessage="1" sqref="B2:B3" xr:uid="{00000000-0002-0000-0300-000000000000}">
      <formula1>"eBASE,他システム"</formula1>
    </dataValidation>
    <dataValidation type="list" allowBlank="1" showInputMessage="1" sqref="A8:A15" xr:uid="{00000000-0002-0000-0300-000001000000}">
      <formula1>RngStatus</formula1>
    </dataValidation>
    <dataValidation type="list" allowBlank="1" showInputMessage="1" showErrorMessage="1" sqref="N8:N15 E8:E15" xr:uid="{00000000-0002-0000-0300-000002000000}">
      <formula1>RngDataType</formula1>
    </dataValidation>
    <dataValidation type="list" allowBlank="1" showInputMessage="1" showErrorMessage="1" sqref="O8:O15 F8:F15" xr:uid="{00000000-0002-0000-0300-000003000000}">
      <formula1>RngUmu</formula1>
    </dataValidation>
    <dataValidation type="list" allowBlank="1" showInputMessage="1" sqref="P8:P15 G8:G15" xr:uid="{00000000-0002-0000-0300-000004000000}">
      <formula1>RngUmu</formula1>
    </dataValidation>
    <dataValidation type="list" allowBlank="1" showInputMessage="1" showErrorMessage="1" sqref="J8:J15" xr:uid="{00000000-0002-0000-0300-000005000000}">
      <formula1>RngYesNo</formula1>
    </dataValidation>
    <dataValidation type="list" allowBlank="1" showInputMessage="1" showErrorMessage="1" sqref="Q8:Q15" xr:uid="{00000000-0002-0000-0300-000006000000}">
      <formula1>RngSyori</formula1>
    </dataValidation>
  </dataValidations>
  <pageMargins left="0.70866141732283472" right="0.70866141732283472" top="0.74803149606299213" bottom="0.74803149606299213" header="0.31496062992125984" footer="0.31496062992125984"/>
  <pageSetup paperSize="9" scale="40" fitToHeight="0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4" name="Button 1">
              <controlPr defaultSize="0" print="0" autoFill="0" autoPict="0" macro="[0]!OnClick_CheckDefToItem">
                <anchor moveWithCells="1">
                  <from>
                    <xdr:col>14</xdr:col>
                    <xdr:colOff>0</xdr:colOff>
                    <xdr:row>2</xdr:row>
                    <xdr:rowOff>28575</xdr:rowOff>
                  </from>
                  <to>
                    <xdr:col>16</xdr:col>
                    <xdr:colOff>1076325</xdr:colOff>
                    <xdr:row>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8" r:id="rId5" name="Button 2">
              <controlPr defaultSize="0" print="0" autoFill="0" autoPict="0" macro="[0]!OnClick_ReadDef_T">
                <anchor moveWithCells="1">
                  <from>
                    <xdr:col>2</xdr:col>
                    <xdr:colOff>180975</xdr:colOff>
                    <xdr:row>2</xdr:row>
                    <xdr:rowOff>28575</xdr:rowOff>
                  </from>
                  <to>
                    <xdr:col>4</xdr:col>
                    <xdr:colOff>104775</xdr:colOff>
                    <xdr:row>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9" r:id="rId6" name="Button 3">
              <controlPr defaultSize="0" print="0" autoFill="0" autoPict="0" macro="[0]!OnClick_SearchDefItem">
                <anchor moveWithCells="1">
                  <from>
                    <xdr:col>11</xdr:col>
                    <xdr:colOff>457200</xdr:colOff>
                    <xdr:row>2</xdr:row>
                    <xdr:rowOff>28575</xdr:rowOff>
                  </from>
                  <to>
                    <xdr:col>13</xdr:col>
                    <xdr:colOff>542925</xdr:colOff>
                    <xdr:row>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0" r:id="rId7" name="Button 4">
              <controlPr defaultSize="0" print="0" autoFill="0" autoPict="0" macro="[0]!OnClick_DeleteSpec">
                <anchor moveWithCells="1">
                  <from>
                    <xdr:col>4</xdr:col>
                    <xdr:colOff>142875</xdr:colOff>
                    <xdr:row>2</xdr:row>
                    <xdr:rowOff>28575</xdr:rowOff>
                  </from>
                  <to>
                    <xdr:col>7</xdr:col>
                    <xdr:colOff>638175</xdr:colOff>
                    <xdr:row>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1" r:id="rId8" name="Button 5">
              <controlPr defaultSize="0" print="0" autoFill="0" autoPict="0" macro="[0]!OnClick_AutoMapping">
                <anchor moveWithCells="1">
                  <from>
                    <xdr:col>9</xdr:col>
                    <xdr:colOff>28575</xdr:colOff>
                    <xdr:row>2</xdr:row>
                    <xdr:rowOff>28575</xdr:rowOff>
                  </from>
                  <to>
                    <xdr:col>11</xdr:col>
                    <xdr:colOff>428625</xdr:colOff>
                    <xdr:row>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2" r:id="rId9" name="Button 6">
              <controlPr defaultSize="0" print="0" autoFill="0" autoPict="0" macro="[0]!OnClick_ReadDef_F">
                <anchor moveWithCells="1">
                  <from>
                    <xdr:col>2</xdr:col>
                    <xdr:colOff>180975</xdr:colOff>
                    <xdr:row>1</xdr:row>
                    <xdr:rowOff>28575</xdr:rowOff>
                  </from>
                  <to>
                    <xdr:col>4</xdr:col>
                    <xdr:colOff>104775</xdr:colOff>
                    <xdr:row>1</xdr:row>
                    <xdr:rowOff>304800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theme="5"/>
  </sheetPr>
  <dimension ref="A1:A111"/>
  <sheetViews>
    <sheetView workbookViewId="0"/>
  </sheetViews>
  <sheetFormatPr defaultColWidth="9" defaultRowHeight="14.25" x14ac:dyDescent="0.15"/>
  <cols>
    <col min="1" max="1" width="31.125" style="1" bestFit="1" customWidth="1"/>
    <col min="2" max="16384" width="9" style="1"/>
  </cols>
  <sheetData>
    <row r="1" spans="1:1" x14ac:dyDescent="0.15">
      <c r="A1" s="1" t="s">
        <v>65</v>
      </c>
    </row>
    <row r="2" spans="1:1" x14ac:dyDescent="0.15">
      <c r="A2" s="1" t="s">
        <v>66</v>
      </c>
    </row>
    <row r="3" spans="1:1" x14ac:dyDescent="0.15">
      <c r="A3" s="1" t="s">
        <v>67</v>
      </c>
    </row>
    <row r="4" spans="1:1" x14ac:dyDescent="0.15">
      <c r="A4" s="1" t="s">
        <v>68</v>
      </c>
    </row>
    <row r="5" spans="1:1" x14ac:dyDescent="0.15">
      <c r="A5" s="1" t="s">
        <v>69</v>
      </c>
    </row>
    <row r="6" spans="1:1" x14ac:dyDescent="0.15">
      <c r="A6" s="1" t="s">
        <v>70</v>
      </c>
    </row>
    <row r="7" spans="1:1" x14ac:dyDescent="0.15">
      <c r="A7" s="1" t="s">
        <v>71</v>
      </c>
    </row>
    <row r="8" spans="1:1" x14ac:dyDescent="0.15">
      <c r="A8" s="1" t="s">
        <v>72</v>
      </c>
    </row>
    <row r="9" spans="1:1" x14ac:dyDescent="0.15">
      <c r="A9" s="1" t="s">
        <v>73</v>
      </c>
    </row>
    <row r="10" spans="1:1" x14ac:dyDescent="0.15">
      <c r="A10" s="1" t="s">
        <v>74</v>
      </c>
    </row>
    <row r="11" spans="1:1" x14ac:dyDescent="0.15">
      <c r="A11" s="1" t="s">
        <v>75</v>
      </c>
    </row>
    <row r="12" spans="1:1" x14ac:dyDescent="0.15">
      <c r="A12" s="1" t="s">
        <v>76</v>
      </c>
    </row>
    <row r="13" spans="1:1" x14ac:dyDescent="0.15">
      <c r="A13" s="1" t="s">
        <v>77</v>
      </c>
    </row>
    <row r="14" spans="1:1" x14ac:dyDescent="0.15">
      <c r="A14" s="1" t="s">
        <v>78</v>
      </c>
    </row>
    <row r="15" spans="1:1" x14ac:dyDescent="0.15">
      <c r="A15" s="1" t="s">
        <v>79</v>
      </c>
    </row>
    <row r="16" spans="1:1" x14ac:dyDescent="0.15">
      <c r="A16" s="1" t="s">
        <v>80</v>
      </c>
    </row>
    <row r="17" spans="1:1" x14ac:dyDescent="0.15">
      <c r="A17" s="1" t="s">
        <v>81</v>
      </c>
    </row>
    <row r="18" spans="1:1" x14ac:dyDescent="0.15">
      <c r="A18" s="1" t="s">
        <v>82</v>
      </c>
    </row>
    <row r="19" spans="1:1" x14ac:dyDescent="0.15">
      <c r="A19" s="1" t="s">
        <v>83</v>
      </c>
    </row>
    <row r="20" spans="1:1" x14ac:dyDescent="0.15">
      <c r="A20" s="1" t="s">
        <v>84</v>
      </c>
    </row>
    <row r="21" spans="1:1" x14ac:dyDescent="0.15">
      <c r="A21" s="1" t="s">
        <v>85</v>
      </c>
    </row>
    <row r="22" spans="1:1" x14ac:dyDescent="0.15">
      <c r="A22" s="1" t="s">
        <v>86</v>
      </c>
    </row>
    <row r="23" spans="1:1" x14ac:dyDescent="0.15">
      <c r="A23" s="1" t="s">
        <v>87</v>
      </c>
    </row>
    <row r="24" spans="1:1" x14ac:dyDescent="0.15">
      <c r="A24" s="1" t="s">
        <v>88</v>
      </c>
    </row>
    <row r="25" spans="1:1" x14ac:dyDescent="0.15">
      <c r="A25" s="1" t="s">
        <v>89</v>
      </c>
    </row>
    <row r="26" spans="1:1" x14ac:dyDescent="0.15">
      <c r="A26" s="1" t="s">
        <v>90</v>
      </c>
    </row>
    <row r="27" spans="1:1" x14ac:dyDescent="0.15">
      <c r="A27" s="1" t="s">
        <v>91</v>
      </c>
    </row>
    <row r="28" spans="1:1" x14ac:dyDescent="0.15">
      <c r="A28" s="1" t="s">
        <v>92</v>
      </c>
    </row>
    <row r="29" spans="1:1" x14ac:dyDescent="0.15">
      <c r="A29" s="1" t="s">
        <v>93</v>
      </c>
    </row>
    <row r="30" spans="1:1" x14ac:dyDescent="0.15">
      <c r="A30" s="1" t="s">
        <v>94</v>
      </c>
    </row>
    <row r="31" spans="1:1" x14ac:dyDescent="0.15">
      <c r="A31" s="1" t="s">
        <v>95</v>
      </c>
    </row>
    <row r="32" spans="1:1" x14ac:dyDescent="0.15">
      <c r="A32" s="1" t="s">
        <v>96</v>
      </c>
    </row>
    <row r="33" spans="1:1" x14ac:dyDescent="0.15">
      <c r="A33" s="1" t="s">
        <v>97</v>
      </c>
    </row>
    <row r="34" spans="1:1" x14ac:dyDescent="0.15">
      <c r="A34" s="1" t="s">
        <v>98</v>
      </c>
    </row>
    <row r="35" spans="1:1" x14ac:dyDescent="0.15">
      <c r="A35" s="1" t="s">
        <v>99</v>
      </c>
    </row>
    <row r="36" spans="1:1" x14ac:dyDescent="0.15">
      <c r="A36" s="1" t="s">
        <v>100</v>
      </c>
    </row>
    <row r="37" spans="1:1" x14ac:dyDescent="0.15">
      <c r="A37" s="1" t="s">
        <v>101</v>
      </c>
    </row>
    <row r="38" spans="1:1" x14ac:dyDescent="0.15">
      <c r="A38" s="1" t="s">
        <v>102</v>
      </c>
    </row>
    <row r="39" spans="1:1" x14ac:dyDescent="0.15">
      <c r="A39" s="1" t="s">
        <v>103</v>
      </c>
    </row>
    <row r="40" spans="1:1" x14ac:dyDescent="0.15">
      <c r="A40" s="1" t="s">
        <v>104</v>
      </c>
    </row>
    <row r="41" spans="1:1" x14ac:dyDescent="0.15">
      <c r="A41" s="1" t="s">
        <v>105</v>
      </c>
    </row>
    <row r="42" spans="1:1" x14ac:dyDescent="0.15">
      <c r="A42" s="1" t="s">
        <v>106</v>
      </c>
    </row>
    <row r="43" spans="1:1" x14ac:dyDescent="0.15">
      <c r="A43" s="1" t="s">
        <v>107</v>
      </c>
    </row>
    <row r="44" spans="1:1" x14ac:dyDescent="0.15">
      <c r="A44" s="1" t="s">
        <v>108</v>
      </c>
    </row>
    <row r="45" spans="1:1" x14ac:dyDescent="0.15">
      <c r="A45" s="1" t="s">
        <v>109</v>
      </c>
    </row>
    <row r="46" spans="1:1" x14ac:dyDescent="0.15">
      <c r="A46" s="1" t="s">
        <v>110</v>
      </c>
    </row>
    <row r="47" spans="1:1" x14ac:dyDescent="0.15">
      <c r="A47" s="1" t="s">
        <v>111</v>
      </c>
    </row>
    <row r="48" spans="1:1" x14ac:dyDescent="0.15">
      <c r="A48" s="1" t="s">
        <v>112</v>
      </c>
    </row>
    <row r="49" spans="1:1" x14ac:dyDescent="0.15">
      <c r="A49" s="1" t="s">
        <v>113</v>
      </c>
    </row>
    <row r="50" spans="1:1" x14ac:dyDescent="0.15">
      <c r="A50" s="1" t="s">
        <v>114</v>
      </c>
    </row>
    <row r="51" spans="1:1" x14ac:dyDescent="0.15">
      <c r="A51" s="1" t="s">
        <v>115</v>
      </c>
    </row>
    <row r="52" spans="1:1" x14ac:dyDescent="0.15">
      <c r="A52" s="1" t="s">
        <v>116</v>
      </c>
    </row>
    <row r="53" spans="1:1" x14ac:dyDescent="0.15">
      <c r="A53" s="1" t="s">
        <v>117</v>
      </c>
    </row>
    <row r="54" spans="1:1" x14ac:dyDescent="0.15">
      <c r="A54" s="1" t="s">
        <v>118</v>
      </c>
    </row>
    <row r="55" spans="1:1" x14ac:dyDescent="0.15">
      <c r="A55" s="1" t="s">
        <v>119</v>
      </c>
    </row>
    <row r="56" spans="1:1" x14ac:dyDescent="0.15">
      <c r="A56" s="1" t="s">
        <v>120</v>
      </c>
    </row>
    <row r="57" spans="1:1" x14ac:dyDescent="0.15">
      <c r="A57" s="1" t="s">
        <v>121</v>
      </c>
    </row>
    <row r="58" spans="1:1" x14ac:dyDescent="0.15">
      <c r="A58" s="1" t="s">
        <v>122</v>
      </c>
    </row>
    <row r="59" spans="1:1" x14ac:dyDescent="0.15">
      <c r="A59" s="1" t="s">
        <v>123</v>
      </c>
    </row>
    <row r="60" spans="1:1" x14ac:dyDescent="0.15">
      <c r="A60" s="1" t="s">
        <v>124</v>
      </c>
    </row>
    <row r="61" spans="1:1" x14ac:dyDescent="0.15">
      <c r="A61" s="1" t="s">
        <v>125</v>
      </c>
    </row>
    <row r="62" spans="1:1" x14ac:dyDescent="0.15">
      <c r="A62" s="1" t="s">
        <v>126</v>
      </c>
    </row>
    <row r="63" spans="1:1" x14ac:dyDescent="0.15">
      <c r="A63" s="1" t="s">
        <v>127</v>
      </c>
    </row>
    <row r="64" spans="1:1" x14ac:dyDescent="0.15">
      <c r="A64" s="1" t="s">
        <v>128</v>
      </c>
    </row>
    <row r="65" spans="1:1" x14ac:dyDescent="0.15">
      <c r="A65" s="1" t="s">
        <v>129</v>
      </c>
    </row>
    <row r="66" spans="1:1" x14ac:dyDescent="0.15">
      <c r="A66" s="1" t="s">
        <v>130</v>
      </c>
    </row>
    <row r="67" spans="1:1" x14ac:dyDescent="0.15">
      <c r="A67" s="1" t="s">
        <v>131</v>
      </c>
    </row>
    <row r="68" spans="1:1" x14ac:dyDescent="0.15">
      <c r="A68" s="1" t="s">
        <v>132</v>
      </c>
    </row>
    <row r="69" spans="1:1" x14ac:dyDescent="0.15">
      <c r="A69" s="1" t="s">
        <v>133</v>
      </c>
    </row>
    <row r="70" spans="1:1" x14ac:dyDescent="0.15">
      <c r="A70" s="1" t="s">
        <v>134</v>
      </c>
    </row>
    <row r="71" spans="1:1" x14ac:dyDescent="0.15">
      <c r="A71" s="1" t="s">
        <v>135</v>
      </c>
    </row>
    <row r="72" spans="1:1" x14ac:dyDescent="0.15">
      <c r="A72" s="1" t="s">
        <v>136</v>
      </c>
    </row>
    <row r="73" spans="1:1" x14ac:dyDescent="0.15">
      <c r="A73" s="1" t="s">
        <v>137</v>
      </c>
    </row>
    <row r="74" spans="1:1" x14ac:dyDescent="0.15">
      <c r="A74" s="1" t="s">
        <v>138</v>
      </c>
    </row>
    <row r="75" spans="1:1" x14ac:dyDescent="0.15">
      <c r="A75" s="1" t="s">
        <v>139</v>
      </c>
    </row>
    <row r="76" spans="1:1" x14ac:dyDescent="0.15">
      <c r="A76" s="1" t="s">
        <v>140</v>
      </c>
    </row>
    <row r="77" spans="1:1" x14ac:dyDescent="0.15">
      <c r="A77" s="1" t="s">
        <v>141</v>
      </c>
    </row>
    <row r="78" spans="1:1" x14ac:dyDescent="0.15">
      <c r="A78" s="1" t="s">
        <v>142</v>
      </c>
    </row>
    <row r="79" spans="1:1" x14ac:dyDescent="0.15">
      <c r="A79" s="1" t="s">
        <v>143</v>
      </c>
    </row>
    <row r="80" spans="1:1" x14ac:dyDescent="0.15">
      <c r="A80" s="1" t="s">
        <v>144</v>
      </c>
    </row>
    <row r="81" spans="1:1" x14ac:dyDescent="0.15">
      <c r="A81" s="1" t="s">
        <v>145</v>
      </c>
    </row>
    <row r="82" spans="1:1" x14ac:dyDescent="0.15">
      <c r="A82" s="1" t="s">
        <v>146</v>
      </c>
    </row>
    <row r="83" spans="1:1" x14ac:dyDescent="0.15">
      <c r="A83" s="1" t="s">
        <v>147</v>
      </c>
    </row>
    <row r="84" spans="1:1" x14ac:dyDescent="0.15">
      <c r="A84" s="1" t="s">
        <v>148</v>
      </c>
    </row>
    <row r="85" spans="1:1" x14ac:dyDescent="0.15">
      <c r="A85" s="1" t="s">
        <v>149</v>
      </c>
    </row>
    <row r="86" spans="1:1" x14ac:dyDescent="0.15">
      <c r="A86" s="1" t="s">
        <v>150</v>
      </c>
    </row>
    <row r="87" spans="1:1" x14ac:dyDescent="0.15">
      <c r="A87" s="1" t="s">
        <v>151</v>
      </c>
    </row>
    <row r="88" spans="1:1" x14ac:dyDescent="0.15">
      <c r="A88" s="1" t="s">
        <v>152</v>
      </c>
    </row>
    <row r="89" spans="1:1" x14ac:dyDescent="0.15">
      <c r="A89" s="1" t="s">
        <v>153</v>
      </c>
    </row>
    <row r="90" spans="1:1" x14ac:dyDescent="0.15">
      <c r="A90" s="1" t="s">
        <v>154</v>
      </c>
    </row>
    <row r="91" spans="1:1" x14ac:dyDescent="0.15">
      <c r="A91" s="1" t="s">
        <v>155</v>
      </c>
    </row>
    <row r="92" spans="1:1" x14ac:dyDescent="0.15">
      <c r="A92" s="1" t="s">
        <v>156</v>
      </c>
    </row>
    <row r="93" spans="1:1" x14ac:dyDescent="0.15">
      <c r="A93" s="1" t="s">
        <v>157</v>
      </c>
    </row>
    <row r="94" spans="1:1" x14ac:dyDescent="0.15">
      <c r="A94" s="1" t="s">
        <v>158</v>
      </c>
    </row>
    <row r="95" spans="1:1" x14ac:dyDescent="0.15">
      <c r="A95" s="1" t="s">
        <v>159</v>
      </c>
    </row>
    <row r="96" spans="1:1" x14ac:dyDescent="0.15">
      <c r="A96" s="1" t="s">
        <v>160</v>
      </c>
    </row>
    <row r="97" spans="1:1" x14ac:dyDescent="0.15">
      <c r="A97" s="1" t="s">
        <v>161</v>
      </c>
    </row>
    <row r="98" spans="1:1" x14ac:dyDescent="0.15">
      <c r="A98" s="1" t="s">
        <v>162</v>
      </c>
    </row>
    <row r="99" spans="1:1" x14ac:dyDescent="0.15">
      <c r="A99" s="1" t="s">
        <v>163</v>
      </c>
    </row>
    <row r="100" spans="1:1" x14ac:dyDescent="0.15">
      <c r="A100" s="1" t="s">
        <v>164</v>
      </c>
    </row>
    <row r="101" spans="1:1" x14ac:dyDescent="0.15">
      <c r="A101" s="1" t="s">
        <v>165</v>
      </c>
    </row>
    <row r="102" spans="1:1" x14ac:dyDescent="0.15">
      <c r="A102" s="1" t="s">
        <v>166</v>
      </c>
    </row>
    <row r="103" spans="1:1" x14ac:dyDescent="0.15">
      <c r="A103" s="1" t="s">
        <v>167</v>
      </c>
    </row>
    <row r="104" spans="1:1" x14ac:dyDescent="0.15">
      <c r="A104" s="1" t="s">
        <v>168</v>
      </c>
    </row>
    <row r="105" spans="1:1" x14ac:dyDescent="0.15">
      <c r="A105" s="1" t="s">
        <v>169</v>
      </c>
    </row>
    <row r="106" spans="1:1" x14ac:dyDescent="0.15">
      <c r="A106" s="1" t="s">
        <v>170</v>
      </c>
    </row>
    <row r="107" spans="1:1" x14ac:dyDescent="0.15">
      <c r="A107" s="1" t="s">
        <v>171</v>
      </c>
    </row>
    <row r="108" spans="1:1" x14ac:dyDescent="0.15">
      <c r="A108" s="1" t="s">
        <v>172</v>
      </c>
    </row>
    <row r="109" spans="1:1" x14ac:dyDescent="0.15">
      <c r="A109" s="1" t="s">
        <v>173</v>
      </c>
    </row>
    <row r="110" spans="1:1" x14ac:dyDescent="0.15">
      <c r="A110" s="1" t="s">
        <v>174</v>
      </c>
    </row>
    <row r="111" spans="1:1" x14ac:dyDescent="0.15">
      <c r="A111" s="1" t="s">
        <v>175</v>
      </c>
    </row>
  </sheetData>
  <phoneticPr fontId="3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B23"/>
  <sheetViews>
    <sheetView workbookViewId="0"/>
  </sheetViews>
  <sheetFormatPr defaultColWidth="9" defaultRowHeight="14.25" x14ac:dyDescent="0.15"/>
  <cols>
    <col min="1" max="2" width="26.875" style="9" customWidth="1"/>
    <col min="3" max="16384" width="9" style="9"/>
  </cols>
  <sheetData>
    <row r="1" spans="1:2" ht="28.5" x14ac:dyDescent="0.15">
      <c r="A1" s="38" t="s">
        <v>46</v>
      </c>
      <c r="B1" s="38" t="s">
        <v>47</v>
      </c>
    </row>
    <row r="2" spans="1:2" x14ac:dyDescent="0.15">
      <c r="A2" s="43" t="s">
        <v>299</v>
      </c>
      <c r="B2" s="43" t="s">
        <v>335</v>
      </c>
    </row>
    <row r="3" spans="1:2" x14ac:dyDescent="0.15">
      <c r="A3" s="43" t="s">
        <v>299</v>
      </c>
      <c r="B3" s="43" t="s">
        <v>336</v>
      </c>
    </row>
    <row r="4" spans="1:2" x14ac:dyDescent="0.15">
      <c r="A4" s="43" t="s">
        <v>299</v>
      </c>
      <c r="B4" s="43" t="s">
        <v>337</v>
      </c>
    </row>
    <row r="5" spans="1:2" x14ac:dyDescent="0.25">
      <c r="A5" s="43" t="s">
        <v>299</v>
      </c>
      <c r="B5" s="63" t="s">
        <v>284</v>
      </c>
    </row>
    <row r="6" spans="1:2" x14ac:dyDescent="0.25">
      <c r="A6" s="43" t="s">
        <v>299</v>
      </c>
      <c r="B6" s="63" t="s">
        <v>285</v>
      </c>
    </row>
    <row r="7" spans="1:2" x14ac:dyDescent="0.15">
      <c r="A7" s="43" t="s">
        <v>299</v>
      </c>
      <c r="B7" s="43" t="s">
        <v>288</v>
      </c>
    </row>
    <row r="8" spans="1:2" x14ac:dyDescent="0.15">
      <c r="A8" s="43" t="s">
        <v>299</v>
      </c>
      <c r="B8" s="43" t="s">
        <v>289</v>
      </c>
    </row>
    <row r="9" spans="1:2" x14ac:dyDescent="0.15">
      <c r="A9" s="43" t="s">
        <v>299</v>
      </c>
      <c r="B9" s="43" t="s">
        <v>338</v>
      </c>
    </row>
    <row r="10" spans="1:2" x14ac:dyDescent="0.15">
      <c r="A10" s="43" t="s">
        <v>299</v>
      </c>
      <c r="B10" s="43" t="s">
        <v>339</v>
      </c>
    </row>
    <row r="11" spans="1:2" x14ac:dyDescent="0.15">
      <c r="A11" s="43" t="s">
        <v>299</v>
      </c>
      <c r="B11" s="43" t="s">
        <v>340</v>
      </c>
    </row>
    <row r="12" spans="1:2" x14ac:dyDescent="0.15">
      <c r="A12" s="43" t="s">
        <v>299</v>
      </c>
      <c r="B12" s="43" t="s">
        <v>341</v>
      </c>
    </row>
    <row r="13" spans="1:2" x14ac:dyDescent="0.15">
      <c r="A13" s="43" t="s">
        <v>299</v>
      </c>
      <c r="B13" s="43" t="s">
        <v>291</v>
      </c>
    </row>
    <row r="14" spans="1:2" x14ac:dyDescent="0.15">
      <c r="A14" s="43" t="s">
        <v>299</v>
      </c>
      <c r="B14" s="43" t="s">
        <v>292</v>
      </c>
    </row>
    <row r="15" spans="1:2" x14ac:dyDescent="0.15">
      <c r="A15" s="43" t="s">
        <v>299</v>
      </c>
      <c r="B15" s="89" t="s">
        <v>293</v>
      </c>
    </row>
    <row r="16" spans="1:2" x14ac:dyDescent="0.15">
      <c r="A16" s="43" t="s">
        <v>299</v>
      </c>
      <c r="B16" s="89" t="s">
        <v>294</v>
      </c>
    </row>
    <row r="17" spans="1:2" x14ac:dyDescent="0.15">
      <c r="A17" s="43" t="s">
        <v>299</v>
      </c>
      <c r="B17" s="43" t="s">
        <v>342</v>
      </c>
    </row>
    <row r="18" spans="1:2" x14ac:dyDescent="0.15">
      <c r="A18" s="43" t="s">
        <v>299</v>
      </c>
      <c r="B18" s="43" t="s">
        <v>343</v>
      </c>
    </row>
    <row r="19" spans="1:2" x14ac:dyDescent="0.15">
      <c r="A19" s="43" t="s">
        <v>299</v>
      </c>
      <c r="B19" s="89" t="s">
        <v>344</v>
      </c>
    </row>
    <row r="20" spans="1:2" x14ac:dyDescent="0.15">
      <c r="A20" s="43" t="s">
        <v>299</v>
      </c>
      <c r="B20" s="89" t="s">
        <v>345</v>
      </c>
    </row>
    <row r="21" spans="1:2" x14ac:dyDescent="0.15">
      <c r="A21" s="43" t="s">
        <v>299</v>
      </c>
      <c r="B21" s="43" t="s">
        <v>346</v>
      </c>
    </row>
    <row r="22" spans="1:2" x14ac:dyDescent="0.15">
      <c r="A22" s="43" t="s">
        <v>299</v>
      </c>
      <c r="B22" s="43" t="s">
        <v>347</v>
      </c>
    </row>
    <row r="23" spans="1:2" x14ac:dyDescent="0.15">
      <c r="A23" s="43" t="s">
        <v>299</v>
      </c>
      <c r="B23" s="43" t="s">
        <v>348</v>
      </c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A1:A2"/>
  <sheetViews>
    <sheetView workbookViewId="0">
      <selection sqref="A1:B1"/>
    </sheetView>
  </sheetViews>
  <sheetFormatPr defaultColWidth="9" defaultRowHeight="14.25" x14ac:dyDescent="0.15"/>
  <cols>
    <col min="1" max="1" width="19.875" style="1" customWidth="1"/>
    <col min="2" max="16384" width="9" style="1"/>
  </cols>
  <sheetData>
    <row r="1" spans="1:1" x14ac:dyDescent="0.15">
      <c r="A1" s="3" t="s">
        <v>11</v>
      </c>
    </row>
    <row r="2" spans="1:1" x14ac:dyDescent="0.15">
      <c r="A2" s="1" t="s">
        <v>187</v>
      </c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H6"/>
  <sheetViews>
    <sheetView zoomScaleNormal="100" workbookViewId="0">
      <pane ySplit="1" topLeftCell="A2" activePane="bottomLeft" state="frozen"/>
      <selection sqref="A1:B1"/>
      <selection pane="bottomLeft" sqref="A1:B1"/>
    </sheetView>
  </sheetViews>
  <sheetFormatPr defaultColWidth="9" defaultRowHeight="14.25" x14ac:dyDescent="0.15"/>
  <cols>
    <col min="1" max="1" width="5.875" style="1" customWidth="1"/>
    <col min="2" max="3" width="32.5" style="1" customWidth="1"/>
    <col min="4" max="4" width="6.875" style="16" customWidth="1"/>
    <col min="5" max="5" width="7.375" style="16" bestFit="1" customWidth="1"/>
    <col min="6" max="8" width="4.875" style="16" bestFit="1" customWidth="1"/>
    <col min="9" max="16384" width="9" style="1"/>
  </cols>
  <sheetData>
    <row r="1" spans="1:8" ht="28.5" x14ac:dyDescent="0.15">
      <c r="A1" s="3" t="s">
        <v>13</v>
      </c>
      <c r="B1" s="3" t="s">
        <v>11</v>
      </c>
      <c r="C1" s="3" t="s">
        <v>12</v>
      </c>
      <c r="D1" s="3" t="s">
        <v>26</v>
      </c>
      <c r="E1" s="3" t="s">
        <v>10</v>
      </c>
      <c r="F1" s="3" t="s">
        <v>9</v>
      </c>
      <c r="G1" s="3" t="s">
        <v>8</v>
      </c>
      <c r="H1" s="7" t="s">
        <v>29</v>
      </c>
    </row>
    <row r="2" spans="1:8" x14ac:dyDescent="0.15">
      <c r="A2" s="1">
        <v>1</v>
      </c>
      <c r="B2" s="1" t="s">
        <v>187</v>
      </c>
      <c r="C2" s="1" t="s">
        <v>188</v>
      </c>
      <c r="D2" s="16">
        <v>10</v>
      </c>
      <c r="E2" s="16" t="s">
        <v>60</v>
      </c>
      <c r="F2" s="16" t="s">
        <v>59</v>
      </c>
    </row>
    <row r="3" spans="1:8" x14ac:dyDescent="0.15">
      <c r="A3" s="1">
        <v>2</v>
      </c>
      <c r="B3" s="1" t="s">
        <v>187</v>
      </c>
      <c r="C3" s="1" t="s">
        <v>189</v>
      </c>
      <c r="D3" s="16">
        <v>20</v>
      </c>
      <c r="E3" s="16" t="s">
        <v>60</v>
      </c>
    </row>
    <row r="4" spans="1:8" x14ac:dyDescent="0.15">
      <c r="A4" s="1">
        <v>3</v>
      </c>
      <c r="B4" s="1" t="s">
        <v>187</v>
      </c>
      <c r="C4" s="1" t="s">
        <v>190</v>
      </c>
      <c r="D4" s="16">
        <v>30</v>
      </c>
      <c r="E4" s="16" t="s">
        <v>60</v>
      </c>
      <c r="F4" s="16" t="s">
        <v>59</v>
      </c>
    </row>
    <row r="5" spans="1:8" x14ac:dyDescent="0.15">
      <c r="A5" s="1">
        <v>4</v>
      </c>
      <c r="B5" s="1" t="s">
        <v>187</v>
      </c>
      <c r="C5" s="1" t="s">
        <v>191</v>
      </c>
      <c r="D5" s="16">
        <v>40</v>
      </c>
      <c r="E5" s="16" t="s">
        <v>60</v>
      </c>
    </row>
    <row r="6" spans="1:8" x14ac:dyDescent="0.15">
      <c r="A6" s="1">
        <v>5</v>
      </c>
      <c r="B6" s="1" t="s">
        <v>187</v>
      </c>
      <c r="C6" s="1" t="s">
        <v>192</v>
      </c>
      <c r="D6" s="16">
        <v>50</v>
      </c>
      <c r="E6" s="16" t="s">
        <v>60</v>
      </c>
      <c r="F6" s="16" t="s">
        <v>59</v>
      </c>
      <c r="G6" s="16" t="s">
        <v>59</v>
      </c>
    </row>
  </sheetData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H6"/>
  <sheetViews>
    <sheetView zoomScaleNormal="100" workbookViewId="0">
      <pane ySplit="1" topLeftCell="A2" activePane="bottomLeft" state="frozen"/>
      <selection sqref="A1:B1"/>
      <selection pane="bottomLeft" sqref="A1:B1"/>
    </sheetView>
  </sheetViews>
  <sheetFormatPr defaultColWidth="9" defaultRowHeight="14.25" x14ac:dyDescent="0.15"/>
  <cols>
    <col min="1" max="1" width="5.875" style="1" customWidth="1"/>
    <col min="2" max="3" width="32.5" style="1" customWidth="1"/>
    <col min="4" max="4" width="6.875" style="1" customWidth="1"/>
    <col min="5" max="5" width="7.375" style="1" bestFit="1" customWidth="1"/>
    <col min="6" max="8" width="4.875" style="1" bestFit="1" customWidth="1"/>
    <col min="9" max="16384" width="9" style="1"/>
  </cols>
  <sheetData>
    <row r="1" spans="1:8" ht="28.5" x14ac:dyDescent="0.15">
      <c r="A1" s="3" t="s">
        <v>13</v>
      </c>
      <c r="B1" s="3" t="s">
        <v>11</v>
      </c>
      <c r="C1" s="3" t="s">
        <v>12</v>
      </c>
      <c r="D1" s="3" t="s">
        <v>26</v>
      </c>
      <c r="E1" s="3" t="s">
        <v>10</v>
      </c>
      <c r="F1" s="3" t="s">
        <v>9</v>
      </c>
      <c r="G1" s="3" t="s">
        <v>8</v>
      </c>
      <c r="H1" s="7" t="s">
        <v>29</v>
      </c>
    </row>
    <row r="2" spans="1:8" x14ac:dyDescent="0.15">
      <c r="A2" s="1">
        <v>1</v>
      </c>
      <c r="B2" s="1" t="s">
        <v>187</v>
      </c>
      <c r="C2" s="1" t="s">
        <v>188</v>
      </c>
      <c r="D2" s="1">
        <v>10</v>
      </c>
      <c r="E2" s="1" t="s">
        <v>60</v>
      </c>
      <c r="F2" s="1" t="s">
        <v>59</v>
      </c>
    </row>
    <row r="3" spans="1:8" x14ac:dyDescent="0.15">
      <c r="A3" s="1">
        <v>2</v>
      </c>
      <c r="B3" s="1" t="s">
        <v>187</v>
      </c>
      <c r="C3" s="1" t="s">
        <v>189</v>
      </c>
      <c r="D3" s="1">
        <v>20</v>
      </c>
      <c r="E3" s="1" t="s">
        <v>60</v>
      </c>
    </row>
    <row r="4" spans="1:8" x14ac:dyDescent="0.15">
      <c r="A4" s="1">
        <v>3</v>
      </c>
      <c r="B4" s="1" t="s">
        <v>187</v>
      </c>
      <c r="C4" s="1" t="s">
        <v>190</v>
      </c>
      <c r="D4" s="1">
        <v>30</v>
      </c>
      <c r="E4" s="1" t="s">
        <v>60</v>
      </c>
      <c r="F4" s="1" t="s">
        <v>59</v>
      </c>
    </row>
    <row r="5" spans="1:8" x14ac:dyDescent="0.15">
      <c r="A5" s="1">
        <v>4</v>
      </c>
      <c r="B5" s="1" t="s">
        <v>187</v>
      </c>
      <c r="C5" s="1" t="s">
        <v>191</v>
      </c>
      <c r="D5" s="1">
        <v>40</v>
      </c>
      <c r="E5" s="1" t="s">
        <v>60</v>
      </c>
    </row>
    <row r="6" spans="1:8" x14ac:dyDescent="0.15">
      <c r="A6" s="1">
        <v>5</v>
      </c>
      <c r="B6" s="1" t="s">
        <v>187</v>
      </c>
      <c r="C6" s="1" t="s">
        <v>192</v>
      </c>
      <c r="D6" s="1">
        <v>50</v>
      </c>
      <c r="E6" s="1" t="s">
        <v>60</v>
      </c>
      <c r="F6" s="1" t="s">
        <v>59</v>
      </c>
      <c r="G6" s="1" t="s">
        <v>59</v>
      </c>
    </row>
  </sheetData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/>
  <dimension ref="A1:F12"/>
  <sheetViews>
    <sheetView workbookViewId="0"/>
  </sheetViews>
  <sheetFormatPr defaultColWidth="9" defaultRowHeight="14.25" x14ac:dyDescent="0.15"/>
  <cols>
    <col min="1" max="1" width="9" style="12"/>
    <col min="2" max="2" width="4.875" style="1" bestFit="1" customWidth="1"/>
    <col min="3" max="3" width="8" style="1" bestFit="1" customWidth="1"/>
    <col min="4" max="4" width="16.5" style="1" bestFit="1" customWidth="1"/>
    <col min="5" max="5" width="9.625" style="1" bestFit="1" customWidth="1"/>
    <col min="6" max="16384" width="9" style="12"/>
  </cols>
  <sheetData>
    <row r="1" spans="1:6" x14ac:dyDescent="0.15">
      <c r="A1" s="26" t="s">
        <v>35</v>
      </c>
      <c r="B1" s="4" t="s">
        <v>51</v>
      </c>
      <c r="C1" s="4" t="s">
        <v>27</v>
      </c>
      <c r="D1" s="5" t="s">
        <v>7</v>
      </c>
      <c r="E1" s="4" t="s">
        <v>25</v>
      </c>
      <c r="F1" s="4" t="s">
        <v>55</v>
      </c>
    </row>
    <row r="2" spans="1:6" x14ac:dyDescent="0.15">
      <c r="A2" s="15" t="s">
        <v>186</v>
      </c>
      <c r="B2" s="6" t="s">
        <v>52</v>
      </c>
      <c r="C2" s="2" t="s">
        <v>2</v>
      </c>
      <c r="D2" s="2" t="s">
        <v>1</v>
      </c>
      <c r="E2" s="2" t="s">
        <v>20</v>
      </c>
      <c r="F2" s="2" t="s">
        <v>52</v>
      </c>
    </row>
    <row r="3" spans="1:6" x14ac:dyDescent="0.15">
      <c r="C3" s="2" t="s">
        <v>28</v>
      </c>
      <c r="D3" s="2" t="s">
        <v>14</v>
      </c>
      <c r="E3" s="2" t="s">
        <v>21</v>
      </c>
      <c r="F3" s="2" t="s">
        <v>56</v>
      </c>
    </row>
    <row r="4" spans="1:6" x14ac:dyDescent="0.15">
      <c r="C4" s="2" t="s">
        <v>53</v>
      </c>
      <c r="D4" s="2" t="s">
        <v>5</v>
      </c>
      <c r="E4" s="2" t="s">
        <v>22</v>
      </c>
    </row>
    <row r="5" spans="1:6" x14ac:dyDescent="0.15">
      <c r="C5" s="2" t="s">
        <v>54</v>
      </c>
      <c r="D5" s="2" t="s">
        <v>6</v>
      </c>
      <c r="E5" s="2" t="s">
        <v>23</v>
      </c>
    </row>
    <row r="6" spans="1:6" x14ac:dyDescent="0.15">
      <c r="D6" s="2" t="s">
        <v>15</v>
      </c>
      <c r="E6" s="2" t="s">
        <v>24</v>
      </c>
    </row>
    <row r="7" spans="1:6" x14ac:dyDescent="0.15">
      <c r="D7" s="2" t="s">
        <v>16</v>
      </c>
    </row>
    <row r="8" spans="1:6" x14ac:dyDescent="0.15">
      <c r="D8" s="2" t="s">
        <v>17</v>
      </c>
    </row>
    <row r="9" spans="1:6" x14ac:dyDescent="0.15">
      <c r="D9" s="2" t="s">
        <v>0</v>
      </c>
    </row>
    <row r="10" spans="1:6" x14ac:dyDescent="0.15">
      <c r="D10" s="2" t="s">
        <v>18</v>
      </c>
    </row>
    <row r="11" spans="1:6" x14ac:dyDescent="0.15">
      <c r="D11" s="2" t="s">
        <v>19</v>
      </c>
    </row>
    <row r="12" spans="1:6" x14ac:dyDescent="0.15">
      <c r="D12" s="2" t="s">
        <v>3</v>
      </c>
    </row>
  </sheetData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29d8fa6-b03f-46be-9b7c-f3488da7cbf3">
      <Terms xmlns="http://schemas.microsoft.com/office/infopath/2007/PartnerControls"/>
    </lcf76f155ced4ddcb4097134ff3c332f>
    <_ip_UnifiedCompliancePolicyProperties xmlns="http://schemas.microsoft.com/sharepoint/v3" xsi:nil="true"/>
    <TaxCatchAll xmlns="abe38791-554f-47a4-83ad-79955e64c54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B10ED3E2D0C364DB3C7B257E9228621" ma:contentTypeVersion="15" ma:contentTypeDescription="新しいドキュメントを作成します。" ma:contentTypeScope="" ma:versionID="9ff3f55acce6f7088aee315b9b7e99e6">
  <xsd:schema xmlns:xsd="http://www.w3.org/2001/XMLSchema" xmlns:xs="http://www.w3.org/2001/XMLSchema" xmlns:p="http://schemas.microsoft.com/office/2006/metadata/properties" xmlns:ns1="http://schemas.microsoft.com/sharepoint/v3" xmlns:ns2="429d8fa6-b03f-46be-9b7c-f3488da7cbf3" xmlns:ns3="abe38791-554f-47a4-83ad-79955e64c54d" targetNamespace="http://schemas.microsoft.com/office/2006/metadata/properties" ma:root="true" ma:fieldsID="42a391b4925061490d9c12b6cba8e66e" ns1:_="" ns2:_="" ns3:_="">
    <xsd:import namespace="http://schemas.microsoft.com/sharepoint/v3"/>
    <xsd:import namespace="429d8fa6-b03f-46be-9b7c-f3488da7cbf3"/>
    <xsd:import namespace="abe38791-554f-47a4-83ad-79955e64c5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統合コンプライアンス ポリシーのプロパティ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統合コンプライアンス ポリシーの UI アクション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d8fa6-b03f-46be-9b7c-f3488da7cb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画像タグ" ma:readOnly="false" ma:fieldId="{5cf76f15-5ced-4ddc-b409-7134ff3c332f}" ma:taxonomyMulti="true" ma:sspId="4f4dcddf-d23c-42ff-819e-c284973a9b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e38791-554f-47a4-83ad-79955e64c54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8aa6d97-829d-4e26-9c2c-9ee031726f88}" ma:internalName="TaxCatchAll" ma:showField="CatchAllData" ma:web="abe38791-554f-47a4-83ad-79955e64c5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5EECE7-C9CB-4B6E-A29D-35759357B12C}">
  <ds:schemaRefs>
    <ds:schemaRef ds:uri="http://purl.org/dc/elements/1.1/"/>
    <ds:schemaRef ds:uri="http://schemas.microsoft.com/office/2006/metadata/properties"/>
    <ds:schemaRef ds:uri="abe38791-554f-47a4-83ad-79955e64c54d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429d8fa6-b03f-46be-9b7c-f3488da7cbf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C86EBC1-0581-4349-BB7D-19D5B3ABC3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C1839C-E431-442C-A934-B5FB8793C8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29d8fa6-b03f-46be-9b7c-f3488da7cbf3"/>
    <ds:schemaRef ds:uri="abe38791-554f-47a4-83ad-79955e64c5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7</vt:i4>
      </vt:variant>
    </vt:vector>
  </HeadingPairs>
  <TitlesOfParts>
    <vt:vector size="13" baseType="lpstr">
      <vt:lpstr>変更履歴</vt:lpstr>
      <vt:lpstr>概要</vt:lpstr>
      <vt:lpstr>マッピングシート</vt:lpstr>
      <vt:lpstr>分割スペックシート</vt:lpstr>
      <vt:lpstr>原材料詳細</vt:lpstr>
      <vt:lpstr>変換先項目出力順</vt:lpstr>
      <vt:lpstr>概要!Print_Area</vt:lpstr>
      <vt:lpstr>RngDataType</vt:lpstr>
      <vt:lpstr>RngStatus</vt:lpstr>
      <vt:lpstr>RngSyori</vt:lpstr>
      <vt:lpstr>RngUmu</vt:lpstr>
      <vt:lpstr>RngYesNo</vt:lpstr>
      <vt:lpstr>SysVersion</vt:lpstr>
    </vt:vector>
  </TitlesOfParts>
  <Company>ebase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ebase</dc:creator>
  <cp:lastModifiedBy>松本 環 システム開発統括部 プラットフォームサービス部 商品サービスG　CH</cp:lastModifiedBy>
  <cp:lastPrinted>2017-11-02T03:02:41Z</cp:lastPrinted>
  <dcterms:created xsi:type="dcterms:W3CDTF">2017-10-13T01:32:40Z</dcterms:created>
  <dcterms:modified xsi:type="dcterms:W3CDTF">2025-11-20T12:13:29Z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48def856-7e5a-434f-9c31-693362f0b943</vt:lpwstr>
  </property>
  <property fmtid="{D5CDD505-2E9C-101B-9397-08002B2CF9AE}" pid="3" name="ContentTypeId">
    <vt:lpwstr>0x0101005B10ED3E2D0C364DB3C7B257E9228621</vt:lpwstr>
  </property>
</Properties>
</file>